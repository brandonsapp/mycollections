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Eclipse\2019-03\git\mycollections\standards.maturity\"/>
    </mc:Choice>
  </mc:AlternateContent>
  <bookViews>
    <workbookView xWindow="15" yWindow="465" windowWidth="33600" windowHeight="19695"/>
  </bookViews>
  <sheets>
    <sheet name="Main" sheetId="1" r:id="rId1"/>
    <sheet name="Sheet1" sheetId="8" r:id="rId2"/>
    <sheet name="AIA" sheetId="2" r:id="rId3"/>
    <sheet name="ANSI" sheetId="3" r:id="rId4"/>
    <sheet name="ECMA" sheetId="4" r:id="rId5"/>
    <sheet name="HDF" sheetId="5" r:id="rId6"/>
    <sheet name="ISA" sheetId="6" r:id="rId7"/>
    <sheet name="ISO" sheetId="7" r:id="rId8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O22" i="1" l="1"/>
  <c r="AN22" i="1"/>
  <c r="AM22" i="1"/>
  <c r="AO21" i="1"/>
  <c r="AN21" i="1"/>
  <c r="AM21" i="1"/>
  <c r="AO20" i="1"/>
  <c r="AN20" i="1"/>
  <c r="AM20" i="1"/>
  <c r="AO19" i="1"/>
  <c r="AN19" i="1"/>
  <c r="AM19" i="1"/>
  <c r="AO15" i="1"/>
  <c r="AN15" i="1"/>
  <c r="AM15" i="1"/>
  <c r="AO10" i="1"/>
  <c r="AN10" i="1"/>
  <c r="AM10" i="1"/>
  <c r="AO9" i="1"/>
  <c r="AN9" i="1"/>
  <c r="AM9" i="1"/>
  <c r="AO8" i="1"/>
  <c r="AN8" i="1"/>
  <c r="AM8" i="1"/>
  <c r="AO7" i="1"/>
  <c r="AN7" i="1"/>
  <c r="AM7" i="1"/>
  <c r="AM3" i="1" l="1"/>
  <c r="AN3" i="1"/>
  <c r="AO3" i="1"/>
  <c r="AL26" i="1"/>
  <c r="AL3" i="1" s="1"/>
  <c r="AK26" i="1"/>
  <c r="AK3" i="1" s="1"/>
  <c r="AJ26" i="1"/>
  <c r="AJ3" i="1" s="1"/>
  <c r="AI12" i="1"/>
  <c r="E12" i="1" s="1"/>
  <c r="AH12" i="1"/>
  <c r="D12" i="1" s="1"/>
  <c r="AG12" i="1"/>
  <c r="C12" i="1" s="1"/>
  <c r="AI11" i="1"/>
  <c r="E11" i="1" s="1"/>
  <c r="AH11" i="1"/>
  <c r="D11" i="1" s="1"/>
  <c r="AG11" i="1"/>
  <c r="C11" i="1" s="1"/>
  <c r="AI10" i="1"/>
  <c r="E10" i="1" s="1"/>
  <c r="AH10" i="1"/>
  <c r="D10" i="1" s="1"/>
  <c r="AG10" i="1"/>
  <c r="C10" i="1" s="1"/>
  <c r="AI5" i="1"/>
  <c r="AH5" i="1"/>
  <c r="AG5" i="1"/>
  <c r="AF20" i="1"/>
  <c r="AE20" i="1"/>
  <c r="AD20" i="1"/>
  <c r="AF19" i="1"/>
  <c r="AE19" i="1"/>
  <c r="AD19" i="1"/>
  <c r="AF15" i="1"/>
  <c r="AE15" i="1"/>
  <c r="AE3" i="1" s="1"/>
  <c r="AD15" i="1"/>
  <c r="AC13" i="1"/>
  <c r="AC3" i="1" s="1"/>
  <c r="AB13" i="1"/>
  <c r="AB3" i="1" s="1"/>
  <c r="AA13" i="1"/>
  <c r="AA3" i="1" s="1"/>
  <c r="Z29" i="1"/>
  <c r="Y29" i="1"/>
  <c r="X29" i="1"/>
  <c r="Z28" i="1"/>
  <c r="Y28" i="1"/>
  <c r="X28" i="1"/>
  <c r="Z26" i="1"/>
  <c r="Y26" i="1"/>
  <c r="X26" i="1"/>
  <c r="AR30" i="1"/>
  <c r="E30" i="1" s="1"/>
  <c r="AQ30" i="1"/>
  <c r="D30" i="1" s="1"/>
  <c r="AP30" i="1"/>
  <c r="C30" i="1" s="1"/>
  <c r="AR24" i="1"/>
  <c r="AQ24" i="1"/>
  <c r="AP24" i="1"/>
  <c r="AR23" i="1"/>
  <c r="AQ23" i="1"/>
  <c r="AP23" i="1"/>
  <c r="AR22" i="1"/>
  <c r="E22" i="1" s="1"/>
  <c r="AQ22" i="1"/>
  <c r="D22" i="1" s="1"/>
  <c r="AP22" i="1"/>
  <c r="C22" i="1" s="1"/>
  <c r="AR21" i="1"/>
  <c r="E21" i="1" s="1"/>
  <c r="AQ21" i="1"/>
  <c r="D21" i="1" s="1"/>
  <c r="AP21" i="1"/>
  <c r="C21" i="1" s="1"/>
  <c r="AR18" i="1"/>
  <c r="E18" i="1" s="1"/>
  <c r="AQ18" i="1"/>
  <c r="D18" i="1" s="1"/>
  <c r="AP18" i="1"/>
  <c r="C18" i="1" s="1"/>
  <c r="AR17" i="1"/>
  <c r="AQ17" i="1"/>
  <c r="AP17" i="1"/>
  <c r="AR16" i="1"/>
  <c r="AQ16" i="1"/>
  <c r="AP16" i="1"/>
  <c r="AR15" i="1"/>
  <c r="AQ15" i="1"/>
  <c r="AP15" i="1"/>
  <c r="AR9" i="1"/>
  <c r="E9" i="1" s="1"/>
  <c r="AQ9" i="1"/>
  <c r="D9" i="1" s="1"/>
  <c r="AP9" i="1"/>
  <c r="C9" i="1" s="1"/>
  <c r="AR8" i="1"/>
  <c r="E8" i="1" s="1"/>
  <c r="AQ8" i="1"/>
  <c r="D8" i="1" s="1"/>
  <c r="AP8" i="1"/>
  <c r="C8" i="1" s="1"/>
  <c r="AR7" i="1"/>
  <c r="AQ7" i="1"/>
  <c r="AP7" i="1"/>
  <c r="W29" i="1"/>
  <c r="Q24" i="1"/>
  <c r="P24" i="1"/>
  <c r="O24" i="1"/>
  <c r="Q23" i="1"/>
  <c r="P23" i="1"/>
  <c r="O23" i="1"/>
  <c r="O3" i="1" s="1"/>
  <c r="V29" i="1"/>
  <c r="U29" i="1"/>
  <c r="W28" i="1"/>
  <c r="W3" i="1" s="1"/>
  <c r="V28" i="1"/>
  <c r="V3" i="1" s="1"/>
  <c r="U28" i="1"/>
  <c r="U3" i="1" s="1"/>
  <c r="AF3" i="1" l="1"/>
  <c r="C24" i="1"/>
  <c r="D7" i="1"/>
  <c r="AQ3" i="1"/>
  <c r="D5" i="1"/>
  <c r="AH3" i="1"/>
  <c r="C5" i="1"/>
  <c r="AG3" i="1"/>
  <c r="E5" i="1"/>
  <c r="AI3" i="1"/>
  <c r="C26" i="1"/>
  <c r="X3" i="1"/>
  <c r="D26" i="1"/>
  <c r="Y3" i="1"/>
  <c r="Z3" i="1"/>
  <c r="D23" i="1"/>
  <c r="P3" i="1"/>
  <c r="E23" i="1"/>
  <c r="Q3" i="1"/>
  <c r="E7" i="1"/>
  <c r="AR3" i="1"/>
  <c r="C7" i="1"/>
  <c r="AP3" i="1"/>
  <c r="AD3" i="1"/>
  <c r="D24" i="1"/>
  <c r="E26" i="1"/>
  <c r="E24" i="1"/>
  <c r="C29" i="1"/>
  <c r="E29" i="1"/>
  <c r="D29" i="1"/>
  <c r="C23" i="1"/>
  <c r="T13" i="1"/>
  <c r="T3" i="1" s="1"/>
  <c r="S13" i="1"/>
  <c r="S3" i="1" s="1"/>
  <c r="R13" i="1"/>
  <c r="R3" i="1" s="1"/>
  <c r="H15" i="1"/>
  <c r="N28" i="1"/>
  <c r="E28" i="1" s="1"/>
  <c r="M28" i="1"/>
  <c r="D28" i="1" s="1"/>
  <c r="L28" i="1"/>
  <c r="C28" i="1" s="1"/>
  <c r="N27" i="1"/>
  <c r="M27" i="1"/>
  <c r="L27" i="1"/>
  <c r="K20" i="1"/>
  <c r="E20" i="1" s="1"/>
  <c r="J20" i="1"/>
  <c r="D20" i="1" s="1"/>
  <c r="I20" i="1"/>
  <c r="C20" i="1" s="1"/>
  <c r="K19" i="1"/>
  <c r="E19" i="1" s="1"/>
  <c r="J19" i="1"/>
  <c r="D19" i="1" s="1"/>
  <c r="I19" i="1"/>
  <c r="C19" i="1" s="1"/>
  <c r="K17" i="1"/>
  <c r="E17" i="1" s="1"/>
  <c r="J17" i="1"/>
  <c r="D17" i="1" s="1"/>
  <c r="I17" i="1"/>
  <c r="C17" i="1" s="1"/>
  <c r="K16" i="1"/>
  <c r="E16" i="1" s="1"/>
  <c r="J16" i="1"/>
  <c r="D16" i="1" s="1"/>
  <c r="I16" i="1"/>
  <c r="C16" i="1" s="1"/>
  <c r="K13" i="1"/>
  <c r="J13" i="1"/>
  <c r="I13" i="1"/>
  <c r="D27" i="1" l="1"/>
  <c r="M3" i="1"/>
  <c r="C13" i="1"/>
  <c r="I3" i="1"/>
  <c r="E27" i="1"/>
  <c r="N3" i="1"/>
  <c r="E15" i="1"/>
  <c r="H3" i="1"/>
  <c r="K3" i="1"/>
  <c r="C27" i="1"/>
  <c r="L3" i="1"/>
  <c r="J3" i="1"/>
  <c r="D13" i="1"/>
  <c r="E13" i="1"/>
  <c r="G15" i="1"/>
  <c r="F15" i="1"/>
  <c r="D15" i="1" l="1"/>
  <c r="G3" i="1"/>
  <c r="C15" i="1"/>
  <c r="F3" i="1"/>
</calcChain>
</file>

<file path=xl/comments1.xml><?xml version="1.0" encoding="utf-8"?>
<comments xmlns="http://schemas.openxmlformats.org/spreadsheetml/2006/main">
  <authors>
    <author>Sapp (US), Brandon</author>
  </authors>
  <commentList>
    <comment ref="AY2" authorId="0" shapeId="0">
      <text>
        <r>
          <rPr>
            <b/>
            <sz val="9"/>
            <color indexed="81"/>
            <rFont val="Tahoma"/>
            <charset val="1"/>
          </rPr>
          <t>Sapp (US), Brandon:</t>
        </r>
        <r>
          <rPr>
            <sz val="9"/>
            <color indexed="81"/>
            <rFont val="Tahoma"/>
            <charset val="1"/>
          </rPr>
          <t xml:space="preserve">
Same as PDF/E?</t>
        </r>
      </text>
    </comment>
    <comment ref="BD2" authorId="0" shapeId="0">
      <text>
        <r>
          <rPr>
            <b/>
            <sz val="9"/>
            <color indexed="81"/>
            <rFont val="Tahoma"/>
            <charset val="1"/>
          </rPr>
          <t>Sapp (US), Brandon: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<sst xmlns="http://schemas.openxmlformats.org/spreadsheetml/2006/main" count="639" uniqueCount="132">
  <si>
    <t>Functional Focus Areas</t>
  </si>
  <si>
    <t>Product Requirements</t>
  </si>
  <si>
    <t>Customer Configuraiton</t>
  </si>
  <si>
    <t>Engineering Product Structure</t>
  </si>
  <si>
    <t>Change Management</t>
  </si>
  <si>
    <t>Scheduling</t>
  </si>
  <si>
    <t>Functional Architecture</t>
  </si>
  <si>
    <t>ICD Documentation</t>
  </si>
  <si>
    <t>Logical Design</t>
  </si>
  <si>
    <t>Vehicle Level Analysis, Test, and Cert</t>
  </si>
  <si>
    <t>Simulation</t>
  </si>
  <si>
    <t>Electrical Design</t>
  </si>
  <si>
    <t>CAD Authoring</t>
  </si>
  <si>
    <t>CAD Storage</t>
  </si>
  <si>
    <t>Spatial Integration</t>
  </si>
  <si>
    <t>EBOM</t>
  </si>
  <si>
    <t>EBOM (Electrical)</t>
  </si>
  <si>
    <t>MBOM</t>
  </si>
  <si>
    <t>Plan Authoring (IP)</t>
  </si>
  <si>
    <t>PDD Distribution</t>
  </si>
  <si>
    <t>Shop Floor Viewing</t>
  </si>
  <si>
    <t>Inventory Management</t>
  </si>
  <si>
    <t>Factory Digital Thread &amp; Automation</t>
  </si>
  <si>
    <t>Shop Floor Info (ADPP)</t>
  </si>
  <si>
    <t>Non-Conformance</t>
  </si>
  <si>
    <t>Plan Delivery (IP)</t>
  </si>
  <si>
    <t>Support Viewing</t>
  </si>
  <si>
    <t>ReqIF</t>
  </si>
  <si>
    <t>CSOS</t>
  </si>
  <si>
    <t>Options</t>
  </si>
  <si>
    <t>Catalog</t>
  </si>
  <si>
    <t>Config Specs</t>
  </si>
  <si>
    <t>ISO 10303-239</t>
  </si>
  <si>
    <t>ISO 10303-242</t>
  </si>
  <si>
    <t>SysML</t>
  </si>
  <si>
    <t>UML</t>
  </si>
  <si>
    <t>UPDM</t>
  </si>
  <si>
    <t>XMI</t>
  </si>
  <si>
    <t>OSLC</t>
  </si>
  <si>
    <t>FMI</t>
  </si>
  <si>
    <t>OWL</t>
  </si>
  <si>
    <t>Modelica</t>
  </si>
  <si>
    <t>ISO 10303-233</t>
  </si>
  <si>
    <t>Test and Lab Data</t>
  </si>
  <si>
    <t>Stress Notes</t>
  </si>
  <si>
    <t>ESV</t>
  </si>
  <si>
    <t>HDF5</t>
  </si>
  <si>
    <t>SVG</t>
  </si>
  <si>
    <t>S1000D</t>
  </si>
  <si>
    <t>FT</t>
  </si>
  <si>
    <t>3D PDF</t>
  </si>
  <si>
    <t>TIFF</t>
  </si>
  <si>
    <t>XML</t>
  </si>
  <si>
    <t>OAGIS BODs</t>
  </si>
  <si>
    <t>EBXML</t>
  </si>
  <si>
    <t>OPC-UA</t>
  </si>
  <si>
    <t>QIF</t>
  </si>
  <si>
    <t>ISA 95</t>
  </si>
  <si>
    <t>X</t>
  </si>
  <si>
    <t>ISO 10303-232</t>
  </si>
  <si>
    <t>ANSI</t>
  </si>
  <si>
    <t>LOTAR</t>
  </si>
  <si>
    <t>ISO Standard</t>
  </si>
  <si>
    <t>OMG Standards</t>
  </si>
  <si>
    <t>W3C Standards</t>
  </si>
  <si>
    <t>Brian Spring</t>
  </si>
  <si>
    <t>Cheryl Chittenden</t>
  </si>
  <si>
    <t>Functional Owner</t>
  </si>
  <si>
    <t>ISO 10303-209</t>
  </si>
  <si>
    <t>ISO/IEC 8632 [CGM]</t>
  </si>
  <si>
    <t>ECMA-363 [U3D]</t>
  </si>
  <si>
    <t>ECMA</t>
  </si>
  <si>
    <t>ISO 14306 [JT]</t>
  </si>
  <si>
    <t>ISO 10303-238</t>
  </si>
  <si>
    <t>AIA</t>
  </si>
  <si>
    <t>HDF</t>
  </si>
  <si>
    <t>OAGi</t>
  </si>
  <si>
    <t>IEC/ISO 62264 [B2MML]</t>
  </si>
  <si>
    <t>ISA</t>
  </si>
  <si>
    <t>ISO/IEC 10918 [JPEG]</t>
  </si>
  <si>
    <t>ISO/ASTM 52915 [AMF]</t>
  </si>
  <si>
    <t>OPC</t>
  </si>
  <si>
    <t>OMG</t>
  </si>
  <si>
    <t>David Odendahl</t>
  </si>
  <si>
    <t>Rick Zuray</t>
  </si>
  <si>
    <t>Joe Draper</t>
  </si>
  <si>
    <t>Mark Williams</t>
  </si>
  <si>
    <t>Tom Bluhm</t>
  </si>
  <si>
    <t>Data Standard</t>
  </si>
  <si>
    <t>S100D</t>
  </si>
  <si>
    <t>Standards Body</t>
  </si>
  <si>
    <t>Technical SME</t>
  </si>
  <si>
    <t>XXX</t>
  </si>
  <si>
    <t>Standard Maturity</t>
  </si>
  <si>
    <t>Boeing Business Capability Maturity</t>
  </si>
  <si>
    <t>Industry Maturity</t>
  </si>
  <si>
    <t>Business Functional Area</t>
  </si>
  <si>
    <t>Rich Zuray</t>
  </si>
  <si>
    <t>Shop Floor</t>
  </si>
  <si>
    <t>S</t>
  </si>
  <si>
    <t>B</t>
  </si>
  <si>
    <t>I</t>
  </si>
  <si>
    <t>Gaps</t>
  </si>
  <si>
    <t>Actions</t>
  </si>
  <si>
    <t>Risk</t>
  </si>
  <si>
    <t>U3D</t>
  </si>
  <si>
    <t>David Briggs</t>
  </si>
  <si>
    <t>Identify Data Standard SME</t>
  </si>
  <si>
    <t>Identify Business Capabilities</t>
  </si>
  <si>
    <t>Identify Industry Adoption Requirements</t>
  </si>
  <si>
    <t>Assess Data Standard maturity relative to business information needs</t>
  </si>
  <si>
    <t>Assess Business Capability maturity [People, Process, Data, Tools]</t>
  </si>
  <si>
    <t>Assess Industry maturity</t>
  </si>
  <si>
    <t>Create plan to each gap in maturity's</t>
  </si>
  <si>
    <t>Step</t>
  </si>
  <si>
    <t>Task</t>
  </si>
  <si>
    <t>ISO</t>
  </si>
  <si>
    <t>Boeing Proprietary/Non-Standard/Still in Analysis</t>
  </si>
  <si>
    <t>LOPA [Geometry 2D/3D]</t>
  </si>
  <si>
    <t>???</t>
  </si>
  <si>
    <t>ISO 10303-243</t>
  </si>
  <si>
    <t>Functional Summary</t>
  </si>
  <si>
    <t>LOTAR
[Rick Zurray]</t>
  </si>
  <si>
    <t>ISO 10303-209
[Joe Draper]</t>
  </si>
  <si>
    <t>ISO 10303-233
[Mark Williams]</t>
  </si>
  <si>
    <t>ISO 10303-238
[David Odendahl]</t>
  </si>
  <si>
    <t>ISO 10303-239
[Rick Zuary]</t>
  </si>
  <si>
    <t>ISO 10303-242
[Tom Bluhm]</t>
  </si>
  <si>
    <t>ISO 14739-1 [PRC]
[Stuart Galt]</t>
  </si>
  <si>
    <t>ISO 32000 [PDF]
[Stuart Galt]</t>
  </si>
  <si>
    <t>ISO 19005 [PDF/A]
[Stuart Galt]</t>
  </si>
  <si>
    <t>ISO 24517 [PDF/E]
[Stuart Galt]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</si>
</sst>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6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</fills>
  <borders count="6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197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6" borderId="22" xfId="0" applyFill="1" applyBorder="1" applyAlignment="1">
      <alignment horizontal="right" vertical="center"/>
    </xf>
    <xf numFmtId="0" fontId="0" fillId="6" borderId="23" xfId="0" applyFill="1" applyBorder="1" applyAlignment="1">
      <alignment horizontal="right" vertical="center"/>
    </xf>
    <xf numFmtId="0" fontId="0" fillId="6" borderId="24" xfId="0" applyFill="1" applyBorder="1" applyAlignment="1">
      <alignment horizontal="right" vertical="center"/>
    </xf>
    <xf numFmtId="0" fontId="0" fillId="0" borderId="10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30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4" fillId="0" borderId="15" xfId="0" applyFont="1" applyBorder="1"/>
    <xf numFmtId="0" fontId="0" fillId="10" borderId="13" xfId="0" applyFill="1" applyBorder="1"/>
    <xf numFmtId="0" fontId="0" fillId="10" borderId="14" xfId="0" applyFill="1" applyBorder="1"/>
    <xf numFmtId="0" fontId="0" fillId="10" borderId="0" xfId="0" applyFill="1" applyBorder="1"/>
    <xf numFmtId="0" fontId="0" fillId="10" borderId="37" xfId="0" applyFill="1" applyBorder="1"/>
    <xf numFmtId="0" fontId="0" fillId="10" borderId="39" xfId="0" applyFill="1" applyBorder="1"/>
    <xf numFmtId="0" fontId="0" fillId="10" borderId="38" xfId="0" applyFill="1" applyBorder="1"/>
    <xf numFmtId="0" fontId="4" fillId="0" borderId="16" xfId="0" applyFont="1" applyBorder="1"/>
    <xf numFmtId="0" fontId="4" fillId="0" borderId="17" xfId="0" applyFont="1" applyBorder="1"/>
    <xf numFmtId="0" fontId="4" fillId="0" borderId="2" xfId="0" applyFont="1" applyBorder="1"/>
    <xf numFmtId="0" fontId="4" fillId="0" borderId="14" xfId="0" applyFont="1" applyBorder="1" applyAlignment="1">
      <alignment horizontal="center"/>
    </xf>
    <xf numFmtId="0" fontId="0" fillId="0" borderId="1" xfId="0" applyBorder="1"/>
    <xf numFmtId="0" fontId="0" fillId="0" borderId="21" xfId="0" applyBorder="1"/>
    <xf numFmtId="0" fontId="0" fillId="0" borderId="4" xfId="0" applyFill="1" applyBorder="1" applyAlignment="1">
      <alignment horizontal="center"/>
    </xf>
    <xf numFmtId="0" fontId="0" fillId="0" borderId="6" xfId="0" applyBorder="1"/>
    <xf numFmtId="0" fontId="0" fillId="0" borderId="5" xfId="0" applyFill="1" applyBorder="1" applyAlignment="1">
      <alignment horizontal="center"/>
    </xf>
    <xf numFmtId="0" fontId="0" fillId="0" borderId="7" xfId="0" applyBorder="1"/>
    <xf numFmtId="0" fontId="0" fillId="0" borderId="9" xfId="0" applyFill="1" applyBorder="1" applyAlignment="1">
      <alignment horizontal="center"/>
    </xf>
    <xf numFmtId="0" fontId="0" fillId="0" borderId="5" xfId="0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8" xfId="0" applyBorder="1"/>
    <xf numFmtId="0" fontId="0" fillId="0" borderId="9" xfId="0" applyBorder="1"/>
    <xf numFmtId="0" fontId="0" fillId="0" borderId="17" xfId="0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5" fillId="0" borderId="0" xfId="0" applyFont="1"/>
    <xf numFmtId="0" fontId="1" fillId="14" borderId="12" xfId="0" applyFont="1" applyFill="1" applyBorder="1" applyAlignment="1">
      <alignment horizontal="right" vertical="center"/>
    </xf>
    <xf numFmtId="0" fontId="0" fillId="16" borderId="21" xfId="0" applyFill="1" applyBorder="1" applyAlignment="1">
      <alignment horizontal="center" vertical="center"/>
    </xf>
    <xf numFmtId="0" fontId="0" fillId="16" borderId="3" xfId="0" applyFill="1" applyBorder="1" applyAlignment="1">
      <alignment horizontal="center" vertical="center"/>
    </xf>
    <xf numFmtId="0" fontId="0" fillId="16" borderId="4" xfId="0" applyFill="1" applyBorder="1" applyAlignment="1">
      <alignment horizontal="center" vertical="center"/>
    </xf>
    <xf numFmtId="0" fontId="0" fillId="16" borderId="10" xfId="0" applyFill="1" applyBorder="1" applyAlignment="1">
      <alignment horizontal="center" vertical="center"/>
    </xf>
    <xf numFmtId="0" fontId="0" fillId="16" borderId="27" xfId="0" applyFill="1" applyBorder="1" applyAlignment="1">
      <alignment horizontal="center" vertical="center"/>
    </xf>
    <xf numFmtId="0" fontId="0" fillId="16" borderId="40" xfId="0" applyFill="1" applyBorder="1" applyAlignment="1">
      <alignment horizontal="center" vertical="center"/>
    </xf>
    <xf numFmtId="0" fontId="0" fillId="16" borderId="6" xfId="0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0" fillId="16" borderId="5" xfId="0" applyFill="1" applyBorder="1" applyAlignment="1">
      <alignment horizontal="center" vertical="center"/>
    </xf>
    <xf numFmtId="0" fontId="0" fillId="16" borderId="25" xfId="0" applyFill="1" applyBorder="1" applyAlignment="1">
      <alignment horizontal="center" vertical="center"/>
    </xf>
    <xf numFmtId="0" fontId="0" fillId="16" borderId="28" xfId="0" applyFill="1" applyBorder="1" applyAlignment="1">
      <alignment horizontal="center" vertical="center"/>
    </xf>
    <xf numFmtId="0" fontId="0" fillId="16" borderId="30" xfId="0" applyFill="1" applyBorder="1" applyAlignment="1">
      <alignment horizontal="center" vertical="center"/>
    </xf>
    <xf numFmtId="0" fontId="0" fillId="16" borderId="31" xfId="0" applyFill="1" applyBorder="1" applyAlignment="1">
      <alignment horizontal="center" vertical="center"/>
    </xf>
    <xf numFmtId="0" fontId="0" fillId="16" borderId="32" xfId="0" applyFill="1" applyBorder="1" applyAlignment="1">
      <alignment horizontal="center" vertical="center"/>
    </xf>
    <xf numFmtId="0" fontId="0" fillId="16" borderId="35" xfId="0" applyFill="1" applyBorder="1" applyAlignment="1">
      <alignment horizontal="center" vertical="center"/>
    </xf>
    <xf numFmtId="0" fontId="0" fillId="16" borderId="33" xfId="0" applyFill="1" applyBorder="1" applyAlignment="1">
      <alignment horizontal="center" vertical="center"/>
    </xf>
    <xf numFmtId="0" fontId="0" fillId="16" borderId="34" xfId="0" applyFill="1" applyBorder="1" applyAlignment="1">
      <alignment horizontal="center" vertical="center"/>
    </xf>
    <xf numFmtId="0" fontId="0" fillId="16" borderId="36" xfId="0" applyFill="1" applyBorder="1" applyAlignment="1">
      <alignment horizontal="center" vertical="center"/>
    </xf>
    <xf numFmtId="0" fontId="0" fillId="16" borderId="7" xfId="0" applyFill="1" applyBorder="1" applyAlignment="1">
      <alignment horizontal="center" vertical="center"/>
    </xf>
    <xf numFmtId="0" fontId="0" fillId="16" borderId="8" xfId="0" applyFill="1" applyBorder="1" applyAlignment="1">
      <alignment horizontal="center" vertical="center"/>
    </xf>
    <xf numFmtId="0" fontId="0" fillId="16" borderId="9" xfId="0" applyFill="1" applyBorder="1" applyAlignment="1">
      <alignment horizontal="center" vertical="center"/>
    </xf>
    <xf numFmtId="0" fontId="0" fillId="16" borderId="26" xfId="0" applyFill="1" applyBorder="1" applyAlignment="1">
      <alignment horizontal="center" vertical="center"/>
    </xf>
    <xf numFmtId="0" fontId="0" fillId="16" borderId="29" xfId="0" applyFill="1" applyBorder="1" applyAlignment="1">
      <alignment horizontal="center" vertical="center"/>
    </xf>
    <xf numFmtId="0" fontId="0" fillId="16" borderId="41" xfId="0" applyFill="1" applyBorder="1" applyAlignment="1">
      <alignment horizontal="center" vertical="center"/>
    </xf>
    <xf numFmtId="0" fontId="0" fillId="16" borderId="48" xfId="0" applyFill="1" applyBorder="1" applyAlignment="1">
      <alignment horizontal="center" vertical="center"/>
    </xf>
    <xf numFmtId="0" fontId="0" fillId="16" borderId="47" xfId="0" applyFill="1" applyBorder="1" applyAlignment="1">
      <alignment horizontal="center" vertical="center"/>
    </xf>
    <xf numFmtId="0" fontId="0" fillId="16" borderId="46" xfId="0" applyFill="1" applyBorder="1" applyAlignment="1">
      <alignment horizontal="center" vertical="center"/>
    </xf>
    <xf numFmtId="0" fontId="0" fillId="16" borderId="42" xfId="0" applyFill="1" applyBorder="1" applyAlignment="1">
      <alignment horizontal="center" vertical="center"/>
    </xf>
    <xf numFmtId="0" fontId="0" fillId="16" borderId="49" xfId="0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16" borderId="43" xfId="0" applyFill="1" applyBorder="1" applyAlignment="1">
      <alignment horizontal="center" vertical="center"/>
    </xf>
    <xf numFmtId="0" fontId="0" fillId="16" borderId="50" xfId="0" applyFill="1" applyBorder="1" applyAlignment="1">
      <alignment horizontal="center" vertical="center"/>
    </xf>
    <xf numFmtId="0" fontId="0" fillId="9" borderId="15" xfId="0" applyFill="1" applyBorder="1" applyAlignment="1">
      <alignment horizontal="center" vertical="center"/>
    </xf>
    <xf numFmtId="0" fontId="0" fillId="9" borderId="16" xfId="0" applyFill="1" applyBorder="1" applyAlignment="1">
      <alignment horizontal="center" vertical="center"/>
    </xf>
    <xf numFmtId="0" fontId="0" fillId="9" borderId="17" xfId="0" applyFill="1" applyBorder="1" applyAlignment="1">
      <alignment horizontal="center" vertical="center"/>
    </xf>
    <xf numFmtId="0" fontId="0" fillId="15" borderId="15" xfId="0" applyFill="1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13" borderId="15" xfId="0" applyFill="1" applyBorder="1" applyAlignment="1">
      <alignment horizontal="center" vertical="center"/>
    </xf>
    <xf numFmtId="0" fontId="0" fillId="13" borderId="16" xfId="0" applyFill="1" applyBorder="1" applyAlignment="1">
      <alignment horizontal="center" vertical="center"/>
    </xf>
    <xf numFmtId="0" fontId="0" fillId="13" borderId="17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7" borderId="2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8" borderId="15" xfId="0" applyFill="1" applyBorder="1" applyAlignment="1">
      <alignment horizontal="center" vertical="center"/>
    </xf>
    <xf numFmtId="0" fontId="0" fillId="8" borderId="16" xfId="0" applyFill="1" applyBorder="1" applyAlignment="1">
      <alignment horizontal="center" vertical="center"/>
    </xf>
    <xf numFmtId="0" fontId="0" fillId="8" borderId="17" xfId="0" applyFill="1" applyBorder="1" applyAlignment="1">
      <alignment horizontal="center" vertical="center"/>
    </xf>
    <xf numFmtId="0" fontId="0" fillId="12" borderId="15" xfId="0" applyFill="1" applyBorder="1" applyAlignment="1">
      <alignment horizontal="center" vertical="center"/>
    </xf>
    <xf numFmtId="0" fontId="0" fillId="12" borderId="16" xfId="0" applyFill="1" applyBorder="1" applyAlignment="1">
      <alignment horizontal="center" vertical="center"/>
    </xf>
    <xf numFmtId="0" fontId="0" fillId="12" borderId="17" xfId="0" applyFill="1" applyBorder="1" applyAlignment="1">
      <alignment horizontal="center" vertical="center"/>
    </xf>
    <xf numFmtId="0" fontId="0" fillId="11" borderId="15" xfId="0" applyFill="1" applyBorder="1" applyAlignment="1">
      <alignment horizontal="center" vertical="center"/>
    </xf>
    <xf numFmtId="0" fontId="0" fillId="11" borderId="16" xfId="0" applyFill="1" applyBorder="1" applyAlignment="1">
      <alignment horizontal="center" vertical="center"/>
    </xf>
    <xf numFmtId="0" fontId="0" fillId="11" borderId="17" xfId="0" applyFill="1" applyBorder="1" applyAlignment="1">
      <alignment horizontal="center" vertical="center"/>
    </xf>
    <xf numFmtId="0" fontId="0" fillId="16" borderId="52" xfId="0" applyFill="1" applyBorder="1" applyAlignment="1">
      <alignment horizontal="center" vertical="center"/>
    </xf>
    <xf numFmtId="0" fontId="0" fillId="16" borderId="53" xfId="0" applyFill="1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16" borderId="56" xfId="0" applyFill="1" applyBorder="1" applyAlignment="1">
      <alignment horizontal="center" vertical="center"/>
    </xf>
    <xf numFmtId="0" fontId="0" fillId="16" borderId="57" xfId="0" applyFill="1" applyBorder="1" applyAlignment="1">
      <alignment horizontal="center" vertical="center"/>
    </xf>
    <xf numFmtId="0" fontId="0" fillId="16" borderId="38" xfId="0" applyFill="1" applyBorder="1" applyAlignment="1">
      <alignment horizontal="center" vertical="center"/>
    </xf>
    <xf numFmtId="0" fontId="0" fillId="16" borderId="58" xfId="0" applyFill="1" applyBorder="1" applyAlignment="1">
      <alignment horizontal="center" vertical="center"/>
    </xf>
    <xf numFmtId="0" fontId="0" fillId="16" borderId="59" xfId="0" applyFill="1" applyBorder="1" applyAlignment="1">
      <alignment horizontal="center" vertical="center"/>
    </xf>
    <xf numFmtId="0" fontId="0" fillId="16" borderId="54" xfId="0" applyFill="1" applyBorder="1" applyAlignment="1">
      <alignment horizontal="center" vertical="center"/>
    </xf>
    <xf numFmtId="0" fontId="0" fillId="16" borderId="55" xfId="0" applyFill="1" applyBorder="1" applyAlignment="1">
      <alignment horizontal="center" vertical="center"/>
    </xf>
    <xf numFmtId="0" fontId="0" fillId="16" borderId="60" xfId="0" applyFill="1" applyBorder="1" applyAlignment="1">
      <alignment horizontal="center" vertical="center"/>
    </xf>
    <xf numFmtId="0" fontId="0" fillId="16" borderId="61" xfId="0" applyFill="1" applyBorder="1" applyAlignment="1">
      <alignment horizontal="center" vertical="center"/>
    </xf>
    <xf numFmtId="0" fontId="0" fillId="16" borderId="62" xfId="0" applyFill="1" applyBorder="1" applyAlignment="1">
      <alignment horizontal="center" vertical="center"/>
    </xf>
    <xf numFmtId="0" fontId="0" fillId="15" borderId="19" xfId="0" applyFill="1" applyBorder="1" applyAlignment="1">
      <alignment horizontal="center" vertical="center" textRotation="90"/>
    </xf>
    <xf numFmtId="0" fontId="0" fillId="15" borderId="20" xfId="0" applyFill="1" applyBorder="1" applyAlignment="1">
      <alignment horizontal="center" vertical="center" textRotation="90"/>
    </xf>
    <xf numFmtId="0" fontId="0" fillId="3" borderId="18" xfId="0" applyFill="1" applyBorder="1" applyAlignment="1">
      <alignment horizontal="center" vertical="center" textRotation="90"/>
    </xf>
    <xf numFmtId="0" fontId="0" fillId="3" borderId="20" xfId="0" applyFill="1" applyBorder="1" applyAlignment="1">
      <alignment horizontal="center" vertical="center" textRotation="90"/>
    </xf>
    <xf numFmtId="0" fontId="0" fillId="7" borderId="18" xfId="0" applyFill="1" applyBorder="1" applyAlignment="1">
      <alignment horizontal="center" vertical="center" textRotation="90"/>
    </xf>
    <xf numFmtId="0" fontId="0" fillId="7" borderId="20" xfId="0" applyFill="1" applyBorder="1" applyAlignment="1">
      <alignment horizontal="center" vertical="center" textRotation="90"/>
    </xf>
    <xf numFmtId="0" fontId="0" fillId="0" borderId="11" xfId="0" applyBorder="1" applyAlignment="1">
      <alignment horizontal="center" vertical="center" textRotation="90"/>
    </xf>
    <xf numFmtId="0" fontId="0" fillId="4" borderId="18" xfId="0" applyFill="1" applyBorder="1" applyAlignment="1">
      <alignment horizontal="center" vertical="center" textRotation="90"/>
    </xf>
    <xf numFmtId="0" fontId="0" fillId="4" borderId="19" xfId="0" applyFill="1" applyBorder="1" applyAlignment="1">
      <alignment horizontal="center" vertical="center" textRotation="90"/>
    </xf>
    <xf numFmtId="0" fontId="0" fillId="4" borderId="20" xfId="0" applyFill="1" applyBorder="1" applyAlignment="1">
      <alignment horizontal="center" vertical="center" textRotation="90"/>
    </xf>
    <xf numFmtId="0" fontId="0" fillId="5" borderId="18" xfId="0" applyFill="1" applyBorder="1" applyAlignment="1">
      <alignment horizontal="center" vertical="center" textRotation="90"/>
    </xf>
    <xf numFmtId="0" fontId="0" fillId="5" borderId="19" xfId="0" applyFill="1" applyBorder="1" applyAlignment="1">
      <alignment horizontal="center" vertical="center" textRotation="90"/>
    </xf>
    <xf numFmtId="0" fontId="0" fillId="5" borderId="20" xfId="0" applyFill="1" applyBorder="1" applyAlignment="1">
      <alignment horizontal="center" vertical="center" textRotation="90"/>
    </xf>
    <xf numFmtId="0" fontId="0" fillId="2" borderId="18" xfId="0" applyFill="1" applyBorder="1" applyAlignment="1">
      <alignment horizontal="center" vertical="center" textRotation="90"/>
    </xf>
    <xf numFmtId="0" fontId="0" fillId="2" borderId="19" xfId="0" applyFill="1" applyBorder="1" applyAlignment="1">
      <alignment horizontal="center" vertical="center" textRotation="90"/>
    </xf>
    <xf numFmtId="0" fontId="0" fillId="2" borderId="20" xfId="0" applyFill="1" applyBorder="1" applyAlignment="1">
      <alignment horizontal="center" vertical="center" textRotation="90"/>
    </xf>
    <xf numFmtId="0" fontId="0" fillId="0" borderId="0" xfId="0" applyAlignment="1">
      <alignment horizontal="center" vertical="center" textRotation="90"/>
    </xf>
    <xf numFmtId="0" fontId="0" fillId="0" borderId="0" xfId="0" applyBorder="1" applyAlignment="1">
      <alignment horizontal="center" vertical="center" textRotation="90"/>
    </xf>
    <xf numFmtId="0" fontId="0" fillId="15" borderId="0" xfId="0" applyFill="1" applyBorder="1" applyAlignment="1">
      <alignment horizontal="center" vertical="center" textRotation="90"/>
    </xf>
    <xf numFmtId="0" fontId="0" fillId="3" borderId="0" xfId="0" applyFill="1" applyBorder="1" applyAlignment="1">
      <alignment horizontal="center" vertical="center" textRotation="90"/>
    </xf>
    <xf numFmtId="0" fontId="0" fillId="7" borderId="0" xfId="0" applyFill="1" applyBorder="1" applyAlignment="1">
      <alignment horizontal="center" vertical="center" textRotation="90"/>
    </xf>
    <xf numFmtId="0" fontId="0" fillId="4" borderId="0" xfId="0" applyFill="1" applyBorder="1" applyAlignment="1">
      <alignment horizontal="center" vertical="center" textRotation="90"/>
    </xf>
    <xf numFmtId="0" fontId="0" fillId="5" borderId="0" xfId="0" applyFill="1" applyBorder="1" applyAlignment="1">
      <alignment horizontal="center" vertical="center" textRotation="90"/>
    </xf>
    <xf numFmtId="0" fontId="0" fillId="2" borderId="0" xfId="0" applyFill="1" applyBorder="1" applyAlignment="1">
      <alignment horizontal="center" vertical="center" textRotation="90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19" xfId="0" applyFont="1" applyFill="1" applyBorder="1" applyAlignment="1">
      <alignment horizontal="center" vertical="center"/>
    </xf>
    <xf numFmtId="0" fontId="0" fillId="12" borderId="2" xfId="0" applyFill="1" applyBorder="1" applyAlignment="1">
      <alignment horizontal="center" vertical="center" textRotation="90"/>
    </xf>
    <xf numFmtId="0" fontId="0" fillId="12" borderId="13" xfId="0" applyFill="1" applyBorder="1" applyAlignment="1">
      <alignment horizontal="center" vertical="center" textRotation="90"/>
    </xf>
    <xf numFmtId="0" fontId="0" fillId="12" borderId="14" xfId="0" applyFill="1" applyBorder="1" applyAlignment="1">
      <alignment horizontal="center" vertical="center" textRotation="90"/>
    </xf>
    <xf numFmtId="0" fontId="0" fillId="8" borderId="2" xfId="0" applyFill="1" applyBorder="1" applyAlignment="1">
      <alignment horizontal="center" vertical="center" textRotation="90"/>
    </xf>
    <xf numFmtId="0" fontId="0" fillId="8" borderId="13" xfId="0" applyFill="1" applyBorder="1" applyAlignment="1">
      <alignment horizontal="center" vertical="center" textRotation="90"/>
    </xf>
    <xf numFmtId="0" fontId="0" fillId="8" borderId="14" xfId="0" applyFill="1" applyBorder="1" applyAlignment="1">
      <alignment horizontal="center" vertical="center" textRotation="90"/>
    </xf>
    <xf numFmtId="0" fontId="0" fillId="13" borderId="2" xfId="0" applyFill="1" applyBorder="1" applyAlignment="1">
      <alignment horizontal="center" vertical="center" textRotation="90"/>
    </xf>
    <xf numFmtId="0" fontId="0" fillId="13" borderId="13" xfId="0" applyFill="1" applyBorder="1" applyAlignment="1">
      <alignment horizontal="center" vertical="center" textRotation="90"/>
    </xf>
    <xf numFmtId="0" fontId="0" fillId="13" borderId="14" xfId="0" applyFill="1" applyBorder="1" applyAlignment="1">
      <alignment horizontal="center" vertical="center" textRotation="90"/>
    </xf>
    <xf numFmtId="0" fontId="0" fillId="11" borderId="2" xfId="0" applyFill="1" applyBorder="1" applyAlignment="1">
      <alignment horizontal="center" vertical="center" textRotation="90"/>
    </xf>
    <xf numFmtId="0" fontId="0" fillId="11" borderId="13" xfId="0" applyFill="1" applyBorder="1" applyAlignment="1">
      <alignment horizontal="center" vertical="center" textRotation="90"/>
    </xf>
    <xf numFmtId="0" fontId="0" fillId="11" borderId="14" xfId="0" applyFill="1" applyBorder="1" applyAlignment="1">
      <alignment horizontal="center" vertical="center" textRotation="90"/>
    </xf>
    <xf numFmtId="0" fontId="0" fillId="9" borderId="2" xfId="0" applyFill="1" applyBorder="1" applyAlignment="1">
      <alignment horizontal="center" vertical="center" textRotation="90"/>
    </xf>
    <xf numFmtId="0" fontId="0" fillId="9" borderId="13" xfId="0" applyFill="1" applyBorder="1" applyAlignment="1">
      <alignment horizontal="center" vertical="center" textRotation="90"/>
    </xf>
    <xf numFmtId="0" fontId="0" fillId="9" borderId="14" xfId="0" applyFill="1" applyBorder="1" applyAlignment="1">
      <alignment horizontal="center" vertical="center" textRotation="90"/>
    </xf>
    <xf numFmtId="0" fontId="0" fillId="15" borderId="2" xfId="0" applyFill="1" applyBorder="1" applyAlignment="1">
      <alignment horizontal="center" vertical="center" textRotation="90"/>
    </xf>
    <xf numFmtId="0" fontId="0" fillId="15" borderId="13" xfId="0" applyFill="1" applyBorder="1" applyAlignment="1">
      <alignment horizontal="center" vertical="center" textRotation="90"/>
    </xf>
    <xf numFmtId="0" fontId="0" fillId="15" borderId="66" xfId="0" applyFill="1" applyBorder="1" applyAlignment="1">
      <alignment horizontal="center" vertical="center" textRotation="90"/>
    </xf>
    <xf numFmtId="0" fontId="0" fillId="15" borderId="67" xfId="0" applyFill="1" applyBorder="1" applyAlignment="1">
      <alignment horizontal="center" vertical="center" textRotation="90"/>
    </xf>
    <xf numFmtId="0" fontId="0" fillId="0" borderId="13" xfId="0" applyBorder="1" applyAlignment="1">
      <alignment horizontal="center" vertical="center" textRotation="90"/>
    </xf>
    <xf numFmtId="0" fontId="0" fillId="0" borderId="66" xfId="0" applyBorder="1" applyAlignment="1">
      <alignment horizontal="center" vertical="center" textRotation="90"/>
    </xf>
    <xf numFmtId="0" fontId="1" fillId="14" borderId="68" xfId="0" applyFont="1" applyFill="1" applyBorder="1" applyAlignment="1">
      <alignment horizontal="center" vertical="center"/>
    </xf>
    <xf numFmtId="0" fontId="0" fillId="0" borderId="58" xfId="0" applyFont="1" applyFill="1" applyBorder="1" applyAlignment="1">
      <alignment horizontal="center" vertical="center"/>
    </xf>
    <xf numFmtId="0" fontId="0" fillId="18" borderId="44" xfId="0" applyFill="1" applyBorder="1" applyAlignment="1">
      <alignment horizontal="center" vertical="center"/>
    </xf>
    <xf numFmtId="0" fontId="0" fillId="18" borderId="19" xfId="0" applyFill="1" applyBorder="1" applyAlignment="1">
      <alignment horizontal="center" vertical="center"/>
    </xf>
    <xf numFmtId="0" fontId="0" fillId="18" borderId="20" xfId="0" applyFill="1" applyBorder="1" applyAlignment="1">
      <alignment horizontal="center" vertical="center"/>
    </xf>
    <xf numFmtId="0" fontId="0" fillId="18" borderId="56" xfId="0" applyFont="1" applyFill="1" applyBorder="1" applyAlignment="1">
      <alignment horizontal="center" vertical="center"/>
    </xf>
    <xf numFmtId="0" fontId="0" fillId="18" borderId="58" xfId="0" applyFont="1" applyFill="1" applyBorder="1" applyAlignment="1">
      <alignment horizontal="center" vertical="center"/>
    </xf>
    <xf numFmtId="0" fontId="0" fillId="18" borderId="63" xfId="0" applyFill="1" applyBorder="1"/>
    <xf numFmtId="0" fontId="0" fillId="18" borderId="27" xfId="0" applyFill="1" applyBorder="1"/>
    <xf numFmtId="0" fontId="0" fillId="18" borderId="40" xfId="0" applyFill="1" applyBorder="1"/>
    <xf numFmtId="0" fontId="0" fillId="18" borderId="64" xfId="0" applyFill="1" applyBorder="1"/>
    <xf numFmtId="0" fontId="0" fillId="18" borderId="28" xfId="0" applyFill="1" applyBorder="1"/>
    <xf numFmtId="0" fontId="0" fillId="18" borderId="30" xfId="0" applyFill="1" applyBorder="1"/>
    <xf numFmtId="0" fontId="0" fillId="18" borderId="65" xfId="0" applyFill="1" applyBorder="1"/>
    <xf numFmtId="0" fontId="0" fillId="18" borderId="29" xfId="0" applyFill="1" applyBorder="1"/>
    <xf numFmtId="0" fontId="0" fillId="18" borderId="41" xfId="0" applyFill="1" applyBorder="1"/>
    <xf numFmtId="0" fontId="0" fillId="12" borderId="2" xfId="0" applyFill="1" applyBorder="1" applyAlignment="1">
      <alignment horizontal="center" vertical="center" textRotation="90" wrapText="1"/>
    </xf>
    <xf numFmtId="0" fontId="0" fillId="15" borderId="67" xfId="0" applyFill="1" applyBorder="1" applyAlignment="1">
      <alignment horizontal="center" vertical="center" textRotation="90" wrapText="1"/>
    </xf>
    <xf numFmtId="0" fontId="0" fillId="15" borderId="19" xfId="0" applyFill="1" applyBorder="1" applyAlignment="1">
      <alignment horizontal="center" vertical="center" textRotation="90" wrapText="1"/>
    </xf>
    <xf numFmtId="0" fontId="0" fillId="18" borderId="15" xfId="0" applyFill="1" applyBorder="1" applyAlignment="1">
      <alignment horizontal="center" vertical="center" textRotation="90"/>
    </xf>
    <xf numFmtId="0" fontId="0" fillId="18" borderId="16" xfId="0" applyFill="1" applyBorder="1" applyAlignment="1">
      <alignment horizontal="center" vertical="center" textRotation="90"/>
    </xf>
    <xf numFmtId="0" fontId="0" fillId="18" borderId="17" xfId="0" applyFill="1" applyBorder="1" applyAlignment="1">
      <alignment horizontal="center" vertical="center" textRotation="90"/>
    </xf>
    <xf numFmtId="0" fontId="0" fillId="17" borderId="16" xfId="0" applyFill="1" applyBorder="1" applyAlignment="1">
      <alignment vertical="center"/>
    </xf>
    <xf numFmtId="0" fontId="0" fillId="17" borderId="17" xfId="0" applyFill="1" applyBorder="1" applyAlignment="1">
      <alignment vertical="center"/>
    </xf>
    <xf numFmtId="0" fontId="0" fillId="18" borderId="11" xfId="0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C31"/>
  <sheetViews>
    <sheetView tabSelected="1" zoomScale="90" zoomScaleNormal="90" workbookViewId="0">
      <pane xSplit="1" topLeftCell="B1" activePane="topRight" state="frozen"/>
      <selection pane="topRight" activeCell="G15" sqref="G15"/>
    </sheetView>
  </sheetViews>
  <sheetFormatPr defaultColWidth="11" defaultRowHeight="15.75" outlineLevelRow="1" outlineLevelCol="1" x14ac:dyDescent="0.25"/>
  <cols>
    <col min="1" max="1" width="38" style="6" bestFit="1" customWidth="1"/>
    <col min="2" max="2" width="17.375" style="1" bestFit="1" customWidth="1"/>
    <col min="3" max="5" width="2.5" customWidth="1"/>
    <col min="6" max="14" width="2.5" style="1" customWidth="1" outlineLevel="1"/>
    <col min="15" max="47" width="2.5" customWidth="1" outlineLevel="1"/>
    <col min="48" max="80" width="5.875" customWidth="1" outlineLevel="1"/>
  </cols>
  <sheetData>
    <row r="1" spans="1:81" s="1" customFormat="1" ht="16.5" customHeight="1" thickBot="1" x14ac:dyDescent="0.3">
      <c r="A1" s="9"/>
      <c r="B1" s="9"/>
      <c r="F1" s="104" t="s">
        <v>74</v>
      </c>
      <c r="G1" s="105"/>
      <c r="H1" s="105"/>
      <c r="I1" s="105"/>
      <c r="J1" s="105"/>
      <c r="K1" s="106"/>
      <c r="L1" s="101" t="s">
        <v>60</v>
      </c>
      <c r="M1" s="102"/>
      <c r="N1" s="103"/>
      <c r="O1" s="91" t="s">
        <v>71</v>
      </c>
      <c r="P1" s="92"/>
      <c r="Q1" s="93"/>
      <c r="R1" s="107" t="s">
        <v>75</v>
      </c>
      <c r="S1" s="108"/>
      <c r="T1" s="109"/>
      <c r="U1" s="85" t="s">
        <v>78</v>
      </c>
      <c r="V1" s="86"/>
      <c r="W1" s="87"/>
      <c r="X1" s="88" t="s">
        <v>62</v>
      </c>
      <c r="Y1" s="89"/>
      <c r="Z1" s="89"/>
      <c r="AA1" s="89"/>
      <c r="AB1" s="89"/>
      <c r="AC1" s="89"/>
      <c r="AD1" s="89"/>
      <c r="AE1" s="89"/>
      <c r="AF1" s="89"/>
      <c r="AG1" s="89"/>
      <c r="AH1" s="89"/>
      <c r="AI1" s="89"/>
      <c r="AJ1" s="89"/>
      <c r="AK1" s="89"/>
      <c r="AL1" s="89"/>
      <c r="AM1" s="89"/>
      <c r="AN1" s="89"/>
      <c r="AO1" s="89"/>
      <c r="AP1" s="89"/>
      <c r="AQ1" s="89"/>
      <c r="AR1" s="89"/>
      <c r="AS1" s="89"/>
      <c r="AT1" s="89"/>
      <c r="AU1" s="89"/>
      <c r="AV1" s="89"/>
      <c r="AW1" s="89"/>
      <c r="AX1" s="89"/>
      <c r="AY1" s="89"/>
      <c r="AZ1" s="89"/>
      <c r="BA1" s="89"/>
      <c r="BB1" s="89"/>
      <c r="BC1" s="89"/>
      <c r="BD1" s="89"/>
      <c r="BE1" s="90"/>
      <c r="BF1" s="100" t="s">
        <v>41</v>
      </c>
      <c r="BG1" s="96"/>
      <c r="BH1" s="99" t="s">
        <v>76</v>
      </c>
      <c r="BI1" s="96"/>
      <c r="BJ1" s="10" t="s">
        <v>82</v>
      </c>
      <c r="BK1" s="98" t="s">
        <v>63</v>
      </c>
      <c r="BL1" s="95"/>
      <c r="BM1" s="95"/>
      <c r="BN1" s="95"/>
      <c r="BO1" s="96"/>
      <c r="BP1" s="10" t="s">
        <v>81</v>
      </c>
      <c r="BQ1" s="97" t="s">
        <v>64</v>
      </c>
      <c r="BR1" s="95"/>
      <c r="BS1" s="96"/>
      <c r="BT1" s="94" t="s">
        <v>117</v>
      </c>
      <c r="BU1" s="95"/>
      <c r="BV1" s="95"/>
      <c r="BW1" s="95"/>
      <c r="BX1" s="95"/>
      <c r="BY1" s="95"/>
      <c r="BZ1" s="95"/>
      <c r="CA1" s="95"/>
      <c r="CB1" s="96"/>
    </row>
    <row r="2" spans="1:81" s="1" customFormat="1" ht="131.25" customHeight="1" thickBot="1" x14ac:dyDescent="0.3">
      <c r="A2" s="9"/>
      <c r="B2" s="9"/>
      <c r="C2" s="191" t="s">
        <v>121</v>
      </c>
      <c r="D2" s="192"/>
      <c r="E2" s="193"/>
      <c r="F2" s="151" t="s">
        <v>48</v>
      </c>
      <c r="G2" s="152"/>
      <c r="H2" s="153"/>
      <c r="I2" s="188" t="s">
        <v>122</v>
      </c>
      <c r="J2" s="152"/>
      <c r="K2" s="153"/>
      <c r="L2" s="154" t="s">
        <v>56</v>
      </c>
      <c r="M2" s="155"/>
      <c r="N2" s="156"/>
      <c r="O2" s="157" t="s">
        <v>70</v>
      </c>
      <c r="P2" s="158"/>
      <c r="Q2" s="159"/>
      <c r="R2" s="160" t="s">
        <v>46</v>
      </c>
      <c r="S2" s="161"/>
      <c r="T2" s="162"/>
      <c r="U2" s="163" t="s">
        <v>57</v>
      </c>
      <c r="V2" s="164"/>
      <c r="W2" s="165"/>
      <c r="X2" s="166" t="s">
        <v>77</v>
      </c>
      <c r="Y2" s="167"/>
      <c r="Z2" s="168"/>
      <c r="AA2" s="189" t="s">
        <v>123</v>
      </c>
      <c r="AB2" s="167"/>
      <c r="AC2" s="168"/>
      <c r="AD2" s="169" t="s">
        <v>59</v>
      </c>
      <c r="AE2" s="167"/>
      <c r="AF2" s="168"/>
      <c r="AG2" s="189" t="s">
        <v>124</v>
      </c>
      <c r="AH2" s="170"/>
      <c r="AI2" s="171"/>
      <c r="AJ2" s="189" t="s">
        <v>125</v>
      </c>
      <c r="AK2" s="170"/>
      <c r="AL2" s="171"/>
      <c r="AM2" s="189" t="s">
        <v>126</v>
      </c>
      <c r="AN2" s="170"/>
      <c r="AO2" s="171"/>
      <c r="AP2" s="189" t="s">
        <v>127</v>
      </c>
      <c r="AQ2" s="170"/>
      <c r="AR2" s="171"/>
      <c r="AS2" s="169" t="s">
        <v>120</v>
      </c>
      <c r="AT2" s="167"/>
      <c r="AU2" s="168"/>
      <c r="AV2" s="123" t="s">
        <v>69</v>
      </c>
      <c r="AW2" s="190" t="s">
        <v>128</v>
      </c>
      <c r="AX2" s="123" t="s">
        <v>72</v>
      </c>
      <c r="AY2" s="123" t="s">
        <v>50</v>
      </c>
      <c r="AZ2" s="190" t="s">
        <v>129</v>
      </c>
      <c r="BA2" s="190" t="s">
        <v>130</v>
      </c>
      <c r="BB2" s="190" t="s">
        <v>131</v>
      </c>
      <c r="BC2" s="123" t="s">
        <v>79</v>
      </c>
      <c r="BD2" s="123" t="s">
        <v>51</v>
      </c>
      <c r="BE2" s="124" t="s">
        <v>80</v>
      </c>
      <c r="BF2" s="125" t="s">
        <v>41</v>
      </c>
      <c r="BG2" s="126" t="s">
        <v>39</v>
      </c>
      <c r="BH2" s="127" t="s">
        <v>53</v>
      </c>
      <c r="BI2" s="128" t="s">
        <v>38</v>
      </c>
      <c r="BJ2" s="129" t="s">
        <v>54</v>
      </c>
      <c r="BK2" s="130" t="s">
        <v>27</v>
      </c>
      <c r="BL2" s="131" t="s">
        <v>34</v>
      </c>
      <c r="BM2" s="131" t="s">
        <v>35</v>
      </c>
      <c r="BN2" s="131" t="s">
        <v>36</v>
      </c>
      <c r="BO2" s="132" t="s">
        <v>37</v>
      </c>
      <c r="BP2" s="129" t="s">
        <v>55</v>
      </c>
      <c r="BQ2" s="133" t="s">
        <v>40</v>
      </c>
      <c r="BR2" s="134" t="s">
        <v>47</v>
      </c>
      <c r="BS2" s="135" t="s">
        <v>52</v>
      </c>
      <c r="BT2" s="136" t="s">
        <v>118</v>
      </c>
      <c r="BU2" s="137" t="s">
        <v>28</v>
      </c>
      <c r="BV2" s="137" t="s">
        <v>29</v>
      </c>
      <c r="BW2" s="137" t="s">
        <v>30</v>
      </c>
      <c r="BX2" s="137" t="s">
        <v>31</v>
      </c>
      <c r="BY2" s="137" t="s">
        <v>43</v>
      </c>
      <c r="BZ2" s="137" t="s">
        <v>44</v>
      </c>
      <c r="CA2" s="137" t="s">
        <v>49</v>
      </c>
      <c r="CB2" s="138" t="s">
        <v>45</v>
      </c>
      <c r="CC2" s="139"/>
    </row>
    <row r="3" spans="1:81" s="1" customFormat="1" ht="16.5" thickBot="1" x14ac:dyDescent="0.3">
      <c r="A3" s="9"/>
      <c r="B3" s="196" t="s">
        <v>121</v>
      </c>
      <c r="C3" s="194"/>
      <c r="D3" s="194"/>
      <c r="E3" s="195"/>
      <c r="F3" s="174">
        <f>AVERAGE(F15)</f>
        <v>75</v>
      </c>
      <c r="G3" s="174">
        <f t="shared" ref="G3:H3" si="0">AVERAGE(G15)</f>
        <v>50</v>
      </c>
      <c r="H3" s="174">
        <f t="shared" si="0"/>
        <v>25</v>
      </c>
      <c r="I3" s="175">
        <f>AVERAGE(I13,I16,I17,I19,I20)</f>
        <v>75</v>
      </c>
      <c r="J3" s="175">
        <f t="shared" ref="J3:K3" si="1">AVERAGE(J13,J16,J17,J19,J20)</f>
        <v>50</v>
      </c>
      <c r="K3" s="175">
        <f t="shared" si="1"/>
        <v>25</v>
      </c>
      <c r="L3" s="175">
        <f>AVERAGE(L27)</f>
        <v>75</v>
      </c>
      <c r="M3" s="175">
        <f t="shared" ref="M3:N3" si="2">AVERAGE(M27)</f>
        <v>20</v>
      </c>
      <c r="N3" s="175">
        <f t="shared" si="2"/>
        <v>55</v>
      </c>
      <c r="O3" s="175">
        <f>AVERAGE(O23,O24)</f>
        <v>75</v>
      </c>
      <c r="P3" s="175">
        <f t="shared" ref="P3:Q3" si="3">AVERAGE(P23,P24)</f>
        <v>20</v>
      </c>
      <c r="Q3" s="175">
        <f t="shared" si="3"/>
        <v>55</v>
      </c>
      <c r="R3" s="175">
        <f>AVERAGE(R13)</f>
        <v>75</v>
      </c>
      <c r="S3" s="175">
        <f t="shared" ref="S3:T3" si="4">AVERAGE(S13)</f>
        <v>20</v>
      </c>
      <c r="T3" s="175">
        <f t="shared" si="4"/>
        <v>55</v>
      </c>
      <c r="U3" s="175">
        <f>AVERAGE(U28,U29)</f>
        <v>75</v>
      </c>
      <c r="V3" s="175">
        <f t="shared" ref="V3:W3" si="5">AVERAGE(V28,V29)</f>
        <v>20</v>
      </c>
      <c r="W3" s="175">
        <f t="shared" si="5"/>
        <v>55</v>
      </c>
      <c r="X3" s="175">
        <f>AVERAGE(X26,X28,X29)</f>
        <v>75</v>
      </c>
      <c r="Y3" s="175">
        <f t="shared" ref="Y3:Z3" si="6">AVERAGE(Y26,Y28,Y29)</f>
        <v>20</v>
      </c>
      <c r="Z3" s="175">
        <f t="shared" si="6"/>
        <v>55</v>
      </c>
      <c r="AA3" s="175">
        <f>AVERAGE(AA13)</f>
        <v>75</v>
      </c>
      <c r="AB3" s="175">
        <f t="shared" ref="AB3:AC3" si="7">AVERAGE(AB13)</f>
        <v>20</v>
      </c>
      <c r="AC3" s="175">
        <f t="shared" si="7"/>
        <v>55</v>
      </c>
      <c r="AD3" s="175">
        <f>AVERAGE(AD15,AD19,AD20)</f>
        <v>75</v>
      </c>
      <c r="AE3" s="175">
        <f t="shared" ref="AE3:AF3" si="8">AVERAGE(AE15,AE19,AE20)</f>
        <v>20</v>
      </c>
      <c r="AF3" s="175">
        <f t="shared" si="8"/>
        <v>55</v>
      </c>
      <c r="AG3" s="175">
        <f>AVERAGE(AG5,AG10,AG11,AG12)</f>
        <v>75</v>
      </c>
      <c r="AH3" s="175">
        <f t="shared" ref="AH3:AI3" si="9">AVERAGE(AH5,AH10,AH11,AH12)</f>
        <v>20</v>
      </c>
      <c r="AI3" s="175">
        <f t="shared" si="9"/>
        <v>55</v>
      </c>
      <c r="AJ3" s="175">
        <f>AVERAGE(AJ26)</f>
        <v>75</v>
      </c>
      <c r="AK3" s="175">
        <f t="shared" ref="AK3:AL3" si="10">AVERAGE(AK26)</f>
        <v>20</v>
      </c>
      <c r="AL3" s="175">
        <f t="shared" si="10"/>
        <v>55</v>
      </c>
      <c r="AM3" s="175">
        <f>AVERAGE(AM7,AM8,AM9,AM10,AM15,AM19,AM20,AM21,AM22)</f>
        <v>75</v>
      </c>
      <c r="AN3" s="175">
        <f t="shared" ref="AN3:AO3" si="11">AVERAGE(AN7,AN8,AN9,AN10,AN15,AN19,AN20,AN21,AN22)</f>
        <v>20</v>
      </c>
      <c r="AO3" s="175">
        <f t="shared" si="11"/>
        <v>55</v>
      </c>
      <c r="AP3" s="175">
        <f>AVERAGE(AP7:AP9,AP15:AP18,AP21:AP24,AP30)</f>
        <v>75</v>
      </c>
      <c r="AQ3" s="175">
        <f t="shared" ref="AQ3:AR3" si="12">AVERAGE(AQ7:AQ9,AQ15:AQ18,AQ21:AQ24,AQ30)</f>
        <v>20</v>
      </c>
      <c r="AR3" s="175">
        <f t="shared" si="12"/>
        <v>58.75</v>
      </c>
      <c r="AS3" s="175"/>
      <c r="AT3" s="175"/>
      <c r="AU3" s="176"/>
      <c r="AV3" s="141"/>
      <c r="AW3" s="141"/>
      <c r="AX3" s="141"/>
      <c r="AY3" s="141"/>
      <c r="AZ3" s="141"/>
      <c r="BA3" s="141"/>
      <c r="BB3" s="141"/>
      <c r="BC3" s="141"/>
      <c r="BD3" s="141"/>
      <c r="BE3" s="141"/>
      <c r="BF3" s="142"/>
      <c r="BG3" s="142"/>
      <c r="BH3" s="143"/>
      <c r="BI3" s="143"/>
      <c r="BJ3" s="140"/>
      <c r="BK3" s="144"/>
      <c r="BL3" s="144"/>
      <c r="BM3" s="144"/>
      <c r="BN3" s="144"/>
      <c r="BO3" s="144"/>
      <c r="BP3" s="140"/>
      <c r="BQ3" s="145"/>
      <c r="BR3" s="145"/>
      <c r="BS3" s="145"/>
      <c r="BT3" s="146"/>
      <c r="BU3" s="146"/>
      <c r="BV3" s="146"/>
      <c r="BW3" s="146"/>
      <c r="BX3" s="146"/>
      <c r="BY3" s="146"/>
      <c r="BZ3" s="146"/>
      <c r="CA3" s="146"/>
      <c r="CB3" s="146"/>
      <c r="CC3" s="139"/>
    </row>
    <row r="4" spans="1:81" ht="16.5" outlineLevel="1" thickBot="1" x14ac:dyDescent="0.3">
      <c r="A4" s="50" t="s">
        <v>0</v>
      </c>
      <c r="B4" s="172" t="s">
        <v>67</v>
      </c>
      <c r="C4" s="177" t="s">
        <v>99</v>
      </c>
      <c r="D4" s="178" t="s">
        <v>100</v>
      </c>
      <c r="E4" s="178" t="s">
        <v>101</v>
      </c>
      <c r="F4" s="173" t="s">
        <v>99</v>
      </c>
      <c r="G4" s="173" t="s">
        <v>100</v>
      </c>
      <c r="H4" s="173" t="s">
        <v>101</v>
      </c>
      <c r="I4" s="173" t="s">
        <v>99</v>
      </c>
      <c r="J4" s="173" t="s">
        <v>100</v>
      </c>
      <c r="K4" s="173" t="s">
        <v>101</v>
      </c>
      <c r="L4" s="173" t="s">
        <v>99</v>
      </c>
      <c r="M4" s="173" t="s">
        <v>100</v>
      </c>
      <c r="N4" s="173" t="s">
        <v>101</v>
      </c>
      <c r="O4" s="173" t="s">
        <v>99</v>
      </c>
      <c r="P4" s="173" t="s">
        <v>100</v>
      </c>
      <c r="Q4" s="173" t="s">
        <v>101</v>
      </c>
      <c r="R4" s="173" t="s">
        <v>99</v>
      </c>
      <c r="S4" s="173" t="s">
        <v>100</v>
      </c>
      <c r="T4" s="173" t="s">
        <v>101</v>
      </c>
      <c r="U4" s="173" t="s">
        <v>99</v>
      </c>
      <c r="V4" s="173" t="s">
        <v>100</v>
      </c>
      <c r="W4" s="173" t="s">
        <v>101</v>
      </c>
      <c r="X4" s="173" t="s">
        <v>99</v>
      </c>
      <c r="Y4" s="173" t="s">
        <v>100</v>
      </c>
      <c r="Z4" s="173" t="s">
        <v>101</v>
      </c>
      <c r="AA4" s="173" t="s">
        <v>99</v>
      </c>
      <c r="AB4" s="173" t="s">
        <v>100</v>
      </c>
      <c r="AC4" s="173" t="s">
        <v>101</v>
      </c>
      <c r="AD4" s="173" t="s">
        <v>99</v>
      </c>
      <c r="AE4" s="173" t="s">
        <v>100</v>
      </c>
      <c r="AF4" s="173" t="s">
        <v>101</v>
      </c>
      <c r="AG4" s="173"/>
      <c r="AH4" s="173"/>
      <c r="AI4" s="173"/>
      <c r="AJ4" s="173"/>
      <c r="AK4" s="173"/>
      <c r="AL4" s="173"/>
      <c r="AM4" s="173"/>
      <c r="AN4" s="173"/>
      <c r="AO4" s="173"/>
      <c r="AP4" s="173"/>
      <c r="AQ4" s="173"/>
      <c r="AR4" s="173"/>
      <c r="AS4" s="173"/>
      <c r="AT4" s="173"/>
      <c r="AU4" s="173"/>
      <c r="AV4" s="150"/>
      <c r="AW4" s="150"/>
      <c r="AX4" s="150"/>
      <c r="AY4" s="150"/>
      <c r="AZ4" s="150"/>
      <c r="BA4" s="150"/>
      <c r="BB4" s="150"/>
      <c r="BC4" s="150"/>
      <c r="BD4" s="150"/>
      <c r="BE4" s="150"/>
      <c r="BF4" s="150"/>
      <c r="BG4" s="150"/>
      <c r="BH4" s="150"/>
      <c r="BI4" s="150"/>
      <c r="BJ4" s="150"/>
      <c r="BK4" s="150"/>
      <c r="BL4" s="150"/>
      <c r="BM4" s="150"/>
      <c r="BN4" s="150"/>
      <c r="BO4" s="150"/>
      <c r="BP4" s="150"/>
      <c r="BQ4" s="150"/>
      <c r="BR4" s="150"/>
      <c r="BS4" s="150"/>
      <c r="BT4" s="150"/>
      <c r="BU4" s="150"/>
      <c r="BV4" s="150"/>
      <c r="BW4" s="150"/>
      <c r="BX4" s="150"/>
      <c r="BY4" s="150"/>
      <c r="BZ4" s="150"/>
      <c r="CA4" s="150"/>
      <c r="CB4" s="150"/>
    </row>
    <row r="5" spans="1:81" ht="16.5" outlineLevel="1" thickBot="1" x14ac:dyDescent="0.3">
      <c r="A5" s="12" t="s">
        <v>1</v>
      </c>
      <c r="B5" s="147"/>
      <c r="C5" s="179">
        <f>AVERAGE(AG5)</f>
        <v>75</v>
      </c>
      <c r="D5" s="180">
        <f>AVERAGE(AH5)</f>
        <v>20</v>
      </c>
      <c r="E5" s="181">
        <f>AVERAGE(AI5)</f>
        <v>55</v>
      </c>
      <c r="F5" s="51"/>
      <c r="G5" s="52"/>
      <c r="H5" s="53"/>
      <c r="I5" s="54"/>
      <c r="J5" s="54"/>
      <c r="K5" s="55"/>
      <c r="L5" s="51"/>
      <c r="M5" s="52"/>
      <c r="N5" s="53"/>
      <c r="O5" s="51"/>
      <c r="P5" s="54"/>
      <c r="Q5" s="56"/>
      <c r="R5" s="51"/>
      <c r="S5" s="52"/>
      <c r="T5" s="53"/>
      <c r="U5" s="51"/>
      <c r="V5" s="54"/>
      <c r="W5" s="56"/>
      <c r="X5" s="51"/>
      <c r="Y5" s="52"/>
      <c r="Z5" s="53"/>
      <c r="AA5" s="51"/>
      <c r="AB5" s="52"/>
      <c r="AC5" s="53"/>
      <c r="AD5" s="51"/>
      <c r="AE5" s="52"/>
      <c r="AF5" s="53"/>
      <c r="AG5" s="20">
        <f>ISO!B47</f>
        <v>75</v>
      </c>
      <c r="AH5" s="112">
        <f>ISO!B48</f>
        <v>20</v>
      </c>
      <c r="AI5" s="47">
        <f>ISO!B49</f>
        <v>55</v>
      </c>
      <c r="AJ5" s="51"/>
      <c r="AK5" s="52"/>
      <c r="AL5" s="53"/>
      <c r="AM5" s="55"/>
      <c r="AN5" s="77"/>
      <c r="AO5" s="77"/>
      <c r="AP5" s="51"/>
      <c r="AQ5" s="52"/>
      <c r="AR5" s="53"/>
      <c r="AS5" s="51"/>
      <c r="AT5" s="52"/>
      <c r="AU5" s="53"/>
      <c r="AV5" s="15"/>
      <c r="AW5" s="7"/>
      <c r="AX5" s="7"/>
      <c r="AY5" s="7"/>
      <c r="AZ5" s="7"/>
      <c r="BA5" s="7"/>
      <c r="BB5" s="7"/>
      <c r="BC5" s="7"/>
      <c r="BD5" s="7"/>
      <c r="BE5" s="7"/>
      <c r="BF5" s="7"/>
      <c r="BG5" s="7"/>
      <c r="BH5" s="7"/>
      <c r="BI5" s="7"/>
      <c r="BJ5" s="7"/>
      <c r="BK5" s="7" t="s">
        <v>58</v>
      </c>
      <c r="BL5" s="7"/>
      <c r="BM5" s="7"/>
      <c r="BN5" s="7"/>
      <c r="BO5" s="7"/>
      <c r="BP5" s="7"/>
      <c r="BQ5" s="7"/>
      <c r="BR5" s="7"/>
      <c r="BS5" s="7"/>
      <c r="BT5" s="7"/>
      <c r="BU5" s="7"/>
      <c r="BV5" s="7"/>
      <c r="BW5" s="7"/>
      <c r="BX5" s="7"/>
      <c r="BY5" s="7"/>
      <c r="BZ5" s="7"/>
      <c r="CA5" s="7"/>
      <c r="CB5" s="8"/>
    </row>
    <row r="6" spans="1:81" ht="16.5" outlineLevel="1" thickBot="1" x14ac:dyDescent="0.3">
      <c r="A6" s="13" t="s">
        <v>2</v>
      </c>
      <c r="B6" s="148"/>
      <c r="C6" s="182"/>
      <c r="D6" s="183"/>
      <c r="E6" s="184"/>
      <c r="F6" s="57"/>
      <c r="G6" s="58"/>
      <c r="H6" s="59"/>
      <c r="I6" s="60"/>
      <c r="J6" s="60"/>
      <c r="K6" s="61"/>
      <c r="L6" s="57"/>
      <c r="M6" s="58"/>
      <c r="N6" s="59"/>
      <c r="O6" s="57"/>
      <c r="P6" s="60"/>
      <c r="Q6" s="62"/>
      <c r="R6" s="57"/>
      <c r="S6" s="58"/>
      <c r="T6" s="59"/>
      <c r="U6" s="57"/>
      <c r="V6" s="60"/>
      <c r="W6" s="62"/>
      <c r="X6" s="57"/>
      <c r="Y6" s="58"/>
      <c r="Z6" s="59"/>
      <c r="AA6" s="57"/>
      <c r="AB6" s="58"/>
      <c r="AC6" s="59"/>
      <c r="AD6" s="57"/>
      <c r="AE6" s="58"/>
      <c r="AF6" s="59"/>
      <c r="AG6" s="66"/>
      <c r="AH6" s="118"/>
      <c r="AI6" s="119"/>
      <c r="AJ6" s="57"/>
      <c r="AK6" s="58"/>
      <c r="AL6" s="59"/>
      <c r="AM6" s="78"/>
      <c r="AN6" s="79"/>
      <c r="AO6" s="79"/>
      <c r="AP6" s="63"/>
      <c r="AQ6" s="64"/>
      <c r="AR6" s="65"/>
      <c r="AS6" s="57"/>
      <c r="AT6" s="58"/>
      <c r="AU6" s="59"/>
      <c r="AV6" s="16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 t="s">
        <v>58</v>
      </c>
      <c r="BU6" s="2" t="s">
        <v>58</v>
      </c>
      <c r="BV6" s="2" t="s">
        <v>58</v>
      </c>
      <c r="BW6" s="2" t="s">
        <v>58</v>
      </c>
      <c r="BX6" s="2" t="s">
        <v>58</v>
      </c>
      <c r="BY6" s="2"/>
      <c r="BZ6" s="2"/>
      <c r="CA6" s="2"/>
      <c r="CB6" s="3"/>
    </row>
    <row r="7" spans="1:81" ht="16.5" outlineLevel="1" thickBot="1" x14ac:dyDescent="0.3">
      <c r="A7" s="13" t="s">
        <v>3</v>
      </c>
      <c r="B7" s="148"/>
      <c r="C7" s="182">
        <f>AVERAGE(AM7,AP7)</f>
        <v>75</v>
      </c>
      <c r="D7" s="183">
        <f t="shared" ref="D7:E7" si="13">AVERAGE(AN7,AQ7)</f>
        <v>20</v>
      </c>
      <c r="E7" s="184">
        <f t="shared" si="13"/>
        <v>55</v>
      </c>
      <c r="F7" s="57"/>
      <c r="G7" s="58"/>
      <c r="H7" s="59"/>
      <c r="I7" s="60"/>
      <c r="J7" s="60"/>
      <c r="K7" s="61"/>
      <c r="L7" s="57"/>
      <c r="M7" s="58"/>
      <c r="N7" s="59"/>
      <c r="O7" s="57"/>
      <c r="P7" s="60"/>
      <c r="Q7" s="62"/>
      <c r="R7" s="57"/>
      <c r="S7" s="58"/>
      <c r="T7" s="59"/>
      <c r="U7" s="57"/>
      <c r="V7" s="60"/>
      <c r="W7" s="62"/>
      <c r="X7" s="57"/>
      <c r="Y7" s="58"/>
      <c r="Z7" s="59"/>
      <c r="AA7" s="57"/>
      <c r="AB7" s="58"/>
      <c r="AC7" s="59"/>
      <c r="AD7" s="57"/>
      <c r="AE7" s="58"/>
      <c r="AF7" s="59"/>
      <c r="AG7" s="57"/>
      <c r="AH7" s="60"/>
      <c r="AI7" s="62"/>
      <c r="AJ7" s="57"/>
      <c r="AK7" s="58"/>
      <c r="AL7" s="59"/>
      <c r="AM7" s="80">
        <f>ISO!B77</f>
        <v>75</v>
      </c>
      <c r="AN7" s="81">
        <f>ISO!B78</f>
        <v>20</v>
      </c>
      <c r="AO7" s="21">
        <f>ISO!B79</f>
        <v>55</v>
      </c>
      <c r="AP7" s="20">
        <f>ISO!B131</f>
        <v>75</v>
      </c>
      <c r="AQ7" s="22">
        <f>ISO!B132</f>
        <v>20</v>
      </c>
      <c r="AR7" s="21">
        <f>ISO!B133</f>
        <v>55</v>
      </c>
      <c r="AS7" s="57"/>
      <c r="AT7" s="58"/>
      <c r="AU7" s="59"/>
      <c r="AV7" s="16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3"/>
    </row>
    <row r="8" spans="1:81" ht="16.5" outlineLevel="1" thickBot="1" x14ac:dyDescent="0.3">
      <c r="A8" s="13" t="s">
        <v>4</v>
      </c>
      <c r="B8" s="148"/>
      <c r="C8" s="182">
        <f t="shared" ref="C8:C9" si="14">AVERAGE(AM8,AP8)</f>
        <v>75</v>
      </c>
      <c r="D8" s="183">
        <f t="shared" ref="D8:D9" si="15">AVERAGE(AN8,AQ8)</f>
        <v>20</v>
      </c>
      <c r="E8" s="184">
        <f t="shared" ref="E8:E9" si="16">AVERAGE(AO8,AR8)</f>
        <v>55</v>
      </c>
      <c r="F8" s="57"/>
      <c r="G8" s="58"/>
      <c r="H8" s="59"/>
      <c r="I8" s="60"/>
      <c r="J8" s="60"/>
      <c r="K8" s="61"/>
      <c r="L8" s="57"/>
      <c r="M8" s="58"/>
      <c r="N8" s="59"/>
      <c r="O8" s="57"/>
      <c r="P8" s="60"/>
      <c r="Q8" s="62"/>
      <c r="R8" s="57"/>
      <c r="S8" s="58"/>
      <c r="T8" s="59"/>
      <c r="U8" s="57"/>
      <c r="V8" s="60"/>
      <c r="W8" s="62"/>
      <c r="X8" s="57"/>
      <c r="Y8" s="58"/>
      <c r="Z8" s="59"/>
      <c r="AA8" s="57"/>
      <c r="AB8" s="58"/>
      <c r="AC8" s="59"/>
      <c r="AD8" s="57"/>
      <c r="AE8" s="58"/>
      <c r="AF8" s="59"/>
      <c r="AG8" s="57"/>
      <c r="AH8" s="60"/>
      <c r="AI8" s="62"/>
      <c r="AJ8" s="57"/>
      <c r="AK8" s="58"/>
      <c r="AL8" s="59"/>
      <c r="AM8" s="9">
        <f>ISO!B83</f>
        <v>75</v>
      </c>
      <c r="AN8" s="82">
        <f>ISO!B84</f>
        <v>20</v>
      </c>
      <c r="AO8" s="82">
        <f>ISO!B85</f>
        <v>55</v>
      </c>
      <c r="AP8" s="20">
        <f>ISO!B137</f>
        <v>75</v>
      </c>
      <c r="AQ8" s="22">
        <f>ISO!B138</f>
        <v>20</v>
      </c>
      <c r="AR8" s="21">
        <f>ISO!B139</f>
        <v>55</v>
      </c>
      <c r="AS8" s="57"/>
      <c r="AT8" s="58"/>
      <c r="AU8" s="59"/>
      <c r="AV8" s="16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3"/>
    </row>
    <row r="9" spans="1:81" ht="16.5" outlineLevel="1" thickBot="1" x14ac:dyDescent="0.3">
      <c r="A9" s="13" t="s">
        <v>5</v>
      </c>
      <c r="B9" s="148"/>
      <c r="C9" s="182">
        <f t="shared" si="14"/>
        <v>75</v>
      </c>
      <c r="D9" s="183">
        <f t="shared" si="15"/>
        <v>20</v>
      </c>
      <c r="E9" s="184">
        <f t="shared" si="16"/>
        <v>55</v>
      </c>
      <c r="F9" s="57"/>
      <c r="G9" s="58"/>
      <c r="H9" s="59"/>
      <c r="I9" s="60"/>
      <c r="J9" s="60"/>
      <c r="K9" s="61"/>
      <c r="L9" s="57"/>
      <c r="M9" s="58"/>
      <c r="N9" s="59"/>
      <c r="O9" s="57"/>
      <c r="P9" s="60"/>
      <c r="Q9" s="62"/>
      <c r="R9" s="57"/>
      <c r="S9" s="58"/>
      <c r="T9" s="59"/>
      <c r="U9" s="57"/>
      <c r="V9" s="60"/>
      <c r="W9" s="62"/>
      <c r="X9" s="57"/>
      <c r="Y9" s="58"/>
      <c r="Z9" s="59"/>
      <c r="AA9" s="57"/>
      <c r="AB9" s="58"/>
      <c r="AC9" s="59"/>
      <c r="AD9" s="57"/>
      <c r="AE9" s="58"/>
      <c r="AF9" s="59"/>
      <c r="AG9" s="63"/>
      <c r="AH9" s="110"/>
      <c r="AI9" s="111"/>
      <c r="AJ9" s="57"/>
      <c r="AK9" s="58"/>
      <c r="AL9" s="59"/>
      <c r="AM9" s="80">
        <f>ISO!B89</f>
        <v>75</v>
      </c>
      <c r="AN9" s="81">
        <f>ISO!B90</f>
        <v>20</v>
      </c>
      <c r="AO9" s="21">
        <f>ISO!B91</f>
        <v>55</v>
      </c>
      <c r="AP9" s="20">
        <f>ISO!B143</f>
        <v>75</v>
      </c>
      <c r="AQ9" s="22">
        <f>ISO!B144</f>
        <v>20</v>
      </c>
      <c r="AR9" s="21">
        <f>ISO!B145</f>
        <v>55</v>
      </c>
      <c r="AS9" s="57"/>
      <c r="AT9" s="58"/>
      <c r="AU9" s="59"/>
      <c r="AV9" s="16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3"/>
    </row>
    <row r="10" spans="1:81" ht="16.5" outlineLevel="1" thickBot="1" x14ac:dyDescent="0.3">
      <c r="A10" s="13" t="s">
        <v>6</v>
      </c>
      <c r="B10" s="148"/>
      <c r="C10" s="182">
        <f>AVERAGE(AG10,AM10)</f>
        <v>75</v>
      </c>
      <c r="D10" s="183">
        <f t="shared" ref="D10:E10" si="17">AVERAGE(AH10,AN10)</f>
        <v>20</v>
      </c>
      <c r="E10" s="184">
        <f t="shared" si="17"/>
        <v>55</v>
      </c>
      <c r="F10" s="57"/>
      <c r="G10" s="58"/>
      <c r="H10" s="59"/>
      <c r="I10" s="60"/>
      <c r="J10" s="60"/>
      <c r="K10" s="61"/>
      <c r="L10" s="57"/>
      <c r="M10" s="58"/>
      <c r="N10" s="59"/>
      <c r="O10" s="57"/>
      <c r="P10" s="60"/>
      <c r="Q10" s="62"/>
      <c r="R10" s="57"/>
      <c r="S10" s="58"/>
      <c r="T10" s="59"/>
      <c r="U10" s="57"/>
      <c r="V10" s="60"/>
      <c r="W10" s="62"/>
      <c r="X10" s="57"/>
      <c r="Y10" s="58"/>
      <c r="Z10" s="59"/>
      <c r="AA10" s="57"/>
      <c r="AB10" s="58"/>
      <c r="AC10" s="59"/>
      <c r="AD10" s="57"/>
      <c r="AE10" s="58"/>
      <c r="AF10" s="59"/>
      <c r="AG10" s="20">
        <f>ISO!B53</f>
        <v>75</v>
      </c>
      <c r="AH10" s="112">
        <f>ISO!B54</f>
        <v>20</v>
      </c>
      <c r="AI10" s="47">
        <f>ISO!B55</f>
        <v>55</v>
      </c>
      <c r="AJ10" s="57"/>
      <c r="AK10" s="58"/>
      <c r="AL10" s="59"/>
      <c r="AM10" s="80">
        <f>ISO!B95</f>
        <v>75</v>
      </c>
      <c r="AN10" s="81">
        <f>ISO!B96</f>
        <v>20</v>
      </c>
      <c r="AO10" s="21">
        <f>ISO!B97</f>
        <v>55</v>
      </c>
      <c r="AP10" s="66"/>
      <c r="AQ10" s="67"/>
      <c r="AR10" s="68"/>
      <c r="AS10" s="57"/>
      <c r="AT10" s="58"/>
      <c r="AU10" s="59"/>
      <c r="AV10" s="16"/>
      <c r="AW10" s="2"/>
      <c r="AX10" s="2"/>
      <c r="AY10" s="2"/>
      <c r="AZ10" s="2"/>
      <c r="BA10" s="2"/>
      <c r="BB10" s="2"/>
      <c r="BC10" s="2"/>
      <c r="BD10" s="2"/>
      <c r="BE10" s="2"/>
      <c r="BF10" s="2" t="s">
        <v>58</v>
      </c>
      <c r="BG10" s="2" t="s">
        <v>58</v>
      </c>
      <c r="BH10" s="2"/>
      <c r="BI10" s="2" t="s">
        <v>58</v>
      </c>
      <c r="BJ10" s="2"/>
      <c r="BK10" s="2"/>
      <c r="BL10" s="2" t="s">
        <v>58</v>
      </c>
      <c r="BM10" s="2" t="s">
        <v>58</v>
      </c>
      <c r="BN10" s="2" t="s">
        <v>58</v>
      </c>
      <c r="BO10" s="2" t="s">
        <v>58</v>
      </c>
      <c r="BP10" s="2"/>
      <c r="BQ10" s="2" t="s">
        <v>58</v>
      </c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3"/>
    </row>
    <row r="11" spans="1:81" ht="16.5" outlineLevel="1" thickBot="1" x14ac:dyDescent="0.3">
      <c r="A11" s="13" t="s">
        <v>7</v>
      </c>
      <c r="B11" s="148"/>
      <c r="C11" s="182">
        <f>AVERAGE(AG11)</f>
        <v>75</v>
      </c>
      <c r="D11" s="183">
        <f t="shared" ref="D11:E11" si="18">AVERAGE(AH11)</f>
        <v>20</v>
      </c>
      <c r="E11" s="184">
        <f t="shared" si="18"/>
        <v>55</v>
      </c>
      <c r="F11" s="57"/>
      <c r="G11" s="58"/>
      <c r="H11" s="59"/>
      <c r="I11" s="60"/>
      <c r="J11" s="60"/>
      <c r="K11" s="61"/>
      <c r="L11" s="57"/>
      <c r="M11" s="58"/>
      <c r="N11" s="59"/>
      <c r="O11" s="57"/>
      <c r="P11" s="60"/>
      <c r="Q11" s="62"/>
      <c r="R11" s="57"/>
      <c r="S11" s="58"/>
      <c r="T11" s="59"/>
      <c r="U11" s="57"/>
      <c r="V11" s="60"/>
      <c r="W11" s="62"/>
      <c r="X11" s="57"/>
      <c r="Y11" s="58"/>
      <c r="Z11" s="59"/>
      <c r="AA11" s="57"/>
      <c r="AB11" s="58"/>
      <c r="AC11" s="59"/>
      <c r="AD11" s="57"/>
      <c r="AE11" s="58"/>
      <c r="AF11" s="59"/>
      <c r="AG11" s="20">
        <f>ISO!B59</f>
        <v>75</v>
      </c>
      <c r="AH11" s="112">
        <f>ISO!B60</f>
        <v>20</v>
      </c>
      <c r="AI11" s="47">
        <f>ISO!B61</f>
        <v>55</v>
      </c>
      <c r="AJ11" s="57"/>
      <c r="AK11" s="58"/>
      <c r="AL11" s="59"/>
      <c r="AM11" s="83"/>
      <c r="AN11" s="84"/>
      <c r="AO11" s="84"/>
      <c r="AP11" s="57"/>
      <c r="AQ11" s="58"/>
      <c r="AR11" s="59"/>
      <c r="AS11" s="57"/>
      <c r="AT11" s="58"/>
      <c r="AU11" s="59"/>
      <c r="AV11" s="16"/>
      <c r="AW11" s="2"/>
      <c r="AX11" s="2"/>
      <c r="AY11" s="2"/>
      <c r="AZ11" s="2"/>
      <c r="BA11" s="2"/>
      <c r="BB11" s="2"/>
      <c r="BC11" s="2"/>
      <c r="BD11" s="2"/>
      <c r="BE11" s="2"/>
      <c r="BF11" s="2" t="s">
        <v>58</v>
      </c>
      <c r="BG11" s="2" t="s">
        <v>58</v>
      </c>
      <c r="BH11" s="2"/>
      <c r="BI11" s="2" t="s">
        <v>58</v>
      </c>
      <c r="BJ11" s="2"/>
      <c r="BK11" s="2"/>
      <c r="BL11" s="2" t="s">
        <v>58</v>
      </c>
      <c r="BM11" s="2" t="s">
        <v>58</v>
      </c>
      <c r="BN11" s="2" t="s">
        <v>58</v>
      </c>
      <c r="BO11" s="2" t="s">
        <v>58</v>
      </c>
      <c r="BP11" s="2"/>
      <c r="BQ11" s="2" t="s">
        <v>58</v>
      </c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3"/>
    </row>
    <row r="12" spans="1:81" ht="16.5" outlineLevel="1" thickBot="1" x14ac:dyDescent="0.3">
      <c r="A12" s="13" t="s">
        <v>8</v>
      </c>
      <c r="B12" s="148"/>
      <c r="C12" s="182">
        <f>AVERAGE(AG12)</f>
        <v>75</v>
      </c>
      <c r="D12" s="183">
        <f t="shared" ref="D12" si="19">AVERAGE(AH12)</f>
        <v>20</v>
      </c>
      <c r="E12" s="184">
        <f t="shared" ref="E12" si="20">AVERAGE(AI12)</f>
        <v>55</v>
      </c>
      <c r="F12" s="57"/>
      <c r="G12" s="58"/>
      <c r="H12" s="59"/>
      <c r="I12" s="60"/>
      <c r="J12" s="60"/>
      <c r="K12" s="61"/>
      <c r="L12" s="57"/>
      <c r="M12" s="58"/>
      <c r="N12" s="59"/>
      <c r="O12" s="57"/>
      <c r="P12" s="60"/>
      <c r="Q12" s="62"/>
      <c r="R12" s="63"/>
      <c r="S12" s="64"/>
      <c r="T12" s="65"/>
      <c r="U12" s="57"/>
      <c r="V12" s="60"/>
      <c r="W12" s="62"/>
      <c r="X12" s="57"/>
      <c r="Y12" s="58"/>
      <c r="Z12" s="59"/>
      <c r="AA12" s="63"/>
      <c r="AB12" s="64"/>
      <c r="AC12" s="65"/>
      <c r="AD12" s="57"/>
      <c r="AE12" s="58"/>
      <c r="AF12" s="59"/>
      <c r="AG12" s="20">
        <f>ISO!B65</f>
        <v>75</v>
      </c>
      <c r="AH12" s="112">
        <f>ISO!B66</f>
        <v>20</v>
      </c>
      <c r="AI12" s="47">
        <f>ISO!B67</f>
        <v>55</v>
      </c>
      <c r="AJ12" s="57"/>
      <c r="AK12" s="58"/>
      <c r="AL12" s="59"/>
      <c r="AM12" s="61"/>
      <c r="AN12" s="76"/>
      <c r="AO12" s="76"/>
      <c r="AP12" s="57"/>
      <c r="AQ12" s="58"/>
      <c r="AR12" s="59"/>
      <c r="AS12" s="57"/>
      <c r="AT12" s="58"/>
      <c r="AU12" s="59"/>
      <c r="AV12" s="16"/>
      <c r="AW12" s="2"/>
      <c r="AX12" s="2"/>
      <c r="AY12" s="2"/>
      <c r="AZ12" s="2"/>
      <c r="BA12" s="2"/>
      <c r="BB12" s="2"/>
      <c r="BC12" s="2"/>
      <c r="BD12" s="2"/>
      <c r="BE12" s="2"/>
      <c r="BF12" s="2" t="s">
        <v>58</v>
      </c>
      <c r="BG12" s="2" t="s">
        <v>58</v>
      </c>
      <c r="BH12" s="2"/>
      <c r="BI12" s="2" t="s">
        <v>58</v>
      </c>
      <c r="BJ12" s="2"/>
      <c r="BK12" s="2"/>
      <c r="BL12" s="2" t="s">
        <v>58</v>
      </c>
      <c r="BM12" s="2" t="s">
        <v>58</v>
      </c>
      <c r="BN12" s="2" t="s">
        <v>58</v>
      </c>
      <c r="BO12" s="2" t="s">
        <v>58</v>
      </c>
      <c r="BP12" s="2"/>
      <c r="BQ12" s="2" t="s">
        <v>58</v>
      </c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3"/>
    </row>
    <row r="13" spans="1:81" ht="16.5" outlineLevel="1" thickBot="1" x14ac:dyDescent="0.3">
      <c r="A13" s="13" t="s">
        <v>9</v>
      </c>
      <c r="B13" s="148"/>
      <c r="C13" s="182">
        <f>AVERAGE(I13,R13,AA13)</f>
        <v>75</v>
      </c>
      <c r="D13" s="183">
        <f t="shared" ref="D13:E13" si="21">AVERAGE(J13,S13,AB13)</f>
        <v>30</v>
      </c>
      <c r="E13" s="184">
        <f t="shared" si="21"/>
        <v>45</v>
      </c>
      <c r="F13" s="57"/>
      <c r="G13" s="58"/>
      <c r="H13" s="59"/>
      <c r="I13" s="20">
        <f>AIA!B11</f>
        <v>75</v>
      </c>
      <c r="J13" s="22">
        <f>AIA!B12</f>
        <v>50</v>
      </c>
      <c r="K13" s="21">
        <f>AIA!B13</f>
        <v>25</v>
      </c>
      <c r="L13" s="57"/>
      <c r="M13" s="58"/>
      <c r="N13" s="59"/>
      <c r="O13" s="57"/>
      <c r="P13" s="60"/>
      <c r="Q13" s="62"/>
      <c r="R13" s="20">
        <f>HDF!B5</f>
        <v>75</v>
      </c>
      <c r="S13" s="22">
        <f>HDF!B6</f>
        <v>20</v>
      </c>
      <c r="T13" s="21">
        <f>HDF!B7</f>
        <v>55</v>
      </c>
      <c r="U13" s="57"/>
      <c r="V13" s="60"/>
      <c r="W13" s="62"/>
      <c r="X13" s="57"/>
      <c r="Y13" s="58"/>
      <c r="Z13" s="59"/>
      <c r="AA13" s="20">
        <f>ISO!B23</f>
        <v>75</v>
      </c>
      <c r="AB13" s="22">
        <f>ISO!B24</f>
        <v>20</v>
      </c>
      <c r="AC13" s="21">
        <f>ISO!B25</f>
        <v>55</v>
      </c>
      <c r="AD13" s="57"/>
      <c r="AE13" s="58"/>
      <c r="AF13" s="59"/>
      <c r="AG13" s="66"/>
      <c r="AH13" s="118"/>
      <c r="AI13" s="119"/>
      <c r="AJ13" s="57"/>
      <c r="AK13" s="58"/>
      <c r="AL13" s="59"/>
      <c r="AM13" s="61"/>
      <c r="AN13" s="76"/>
      <c r="AO13" s="76"/>
      <c r="AP13" s="57"/>
      <c r="AQ13" s="58"/>
      <c r="AR13" s="59"/>
      <c r="AS13" s="57"/>
      <c r="AT13" s="58"/>
      <c r="AU13" s="59"/>
      <c r="AV13" s="16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 t="s">
        <v>58</v>
      </c>
      <c r="BZ13" s="2" t="s">
        <v>58</v>
      </c>
      <c r="CA13" s="2"/>
      <c r="CB13" s="3" t="s">
        <v>58</v>
      </c>
    </row>
    <row r="14" spans="1:81" ht="16.5" outlineLevel="1" thickBot="1" x14ac:dyDescent="0.3">
      <c r="A14" s="13" t="s">
        <v>10</v>
      </c>
      <c r="B14" s="148"/>
      <c r="C14" s="182"/>
      <c r="D14" s="183"/>
      <c r="E14" s="184"/>
      <c r="F14" s="63"/>
      <c r="G14" s="64"/>
      <c r="H14" s="65"/>
      <c r="I14" s="60"/>
      <c r="J14" s="60"/>
      <c r="K14" s="61"/>
      <c r="L14" s="57"/>
      <c r="M14" s="58"/>
      <c r="N14" s="59"/>
      <c r="O14" s="57"/>
      <c r="P14" s="60"/>
      <c r="Q14" s="62"/>
      <c r="R14" s="66"/>
      <c r="S14" s="67"/>
      <c r="T14" s="68"/>
      <c r="U14" s="57"/>
      <c r="V14" s="60"/>
      <c r="W14" s="62"/>
      <c r="X14" s="57"/>
      <c r="Y14" s="58"/>
      <c r="Z14" s="59"/>
      <c r="AA14" s="66"/>
      <c r="AB14" s="67"/>
      <c r="AC14" s="68"/>
      <c r="AD14" s="63"/>
      <c r="AE14" s="64"/>
      <c r="AF14" s="65"/>
      <c r="AG14" s="57"/>
      <c r="AH14" s="60"/>
      <c r="AI14" s="62"/>
      <c r="AJ14" s="57"/>
      <c r="AK14" s="58"/>
      <c r="AL14" s="59"/>
      <c r="AM14" s="78"/>
      <c r="AN14" s="79"/>
      <c r="AO14" s="79"/>
      <c r="AP14" s="63"/>
      <c r="AQ14" s="64"/>
      <c r="AR14" s="65"/>
      <c r="AS14" s="57"/>
      <c r="AT14" s="58"/>
      <c r="AU14" s="59"/>
      <c r="AV14" s="16"/>
      <c r="AW14" s="2"/>
      <c r="AX14" s="2"/>
      <c r="AY14" s="2"/>
      <c r="AZ14" s="2"/>
      <c r="BA14" s="2"/>
      <c r="BB14" s="2"/>
      <c r="BC14" s="2"/>
      <c r="BD14" s="2"/>
      <c r="BE14" s="2"/>
      <c r="BF14" s="2" t="s">
        <v>58</v>
      </c>
      <c r="BG14" s="2" t="s">
        <v>58</v>
      </c>
      <c r="BH14" s="2"/>
      <c r="BI14" s="2" t="s">
        <v>58</v>
      </c>
      <c r="BJ14" s="2"/>
      <c r="BK14" s="2"/>
      <c r="BL14" s="2" t="s">
        <v>58</v>
      </c>
      <c r="BM14" s="2" t="s">
        <v>58</v>
      </c>
      <c r="BN14" s="2" t="s">
        <v>58</v>
      </c>
      <c r="BO14" s="2" t="s">
        <v>58</v>
      </c>
      <c r="BP14" s="2"/>
      <c r="BQ14" s="2" t="s">
        <v>58</v>
      </c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3"/>
    </row>
    <row r="15" spans="1:81" ht="16.5" outlineLevel="1" thickBot="1" x14ac:dyDescent="0.3">
      <c r="A15" s="13" t="s">
        <v>11</v>
      </c>
      <c r="B15" s="148"/>
      <c r="C15" s="182">
        <f>AVERAGE(F15,AD15,AM15,AP15)</f>
        <v>75</v>
      </c>
      <c r="D15" s="183">
        <f t="shared" ref="D15:E15" si="22">AVERAGE(G15,AE15,AN15,AQ15)</f>
        <v>27.5</v>
      </c>
      <c r="E15" s="184">
        <f t="shared" si="22"/>
        <v>58.75</v>
      </c>
      <c r="F15" s="20">
        <f>AIA!B5</f>
        <v>75</v>
      </c>
      <c r="G15" s="22">
        <f>AIA!B6</f>
        <v>50</v>
      </c>
      <c r="H15" s="21">
        <f>AIA!B7</f>
        <v>25</v>
      </c>
      <c r="I15" s="60"/>
      <c r="J15" s="60"/>
      <c r="K15" s="61"/>
      <c r="L15" s="57"/>
      <c r="M15" s="58"/>
      <c r="N15" s="59"/>
      <c r="O15" s="57"/>
      <c r="P15" s="60"/>
      <c r="Q15" s="62"/>
      <c r="R15" s="57"/>
      <c r="S15" s="58"/>
      <c r="T15" s="59"/>
      <c r="U15" s="57"/>
      <c r="V15" s="60"/>
      <c r="W15" s="62"/>
      <c r="X15" s="57"/>
      <c r="Y15" s="58"/>
      <c r="Z15" s="59"/>
      <c r="AA15" s="57"/>
      <c r="AB15" s="58"/>
      <c r="AC15" s="59"/>
      <c r="AD15" s="20">
        <f>ISO!B29</f>
        <v>75</v>
      </c>
      <c r="AE15" s="22">
        <f>ISO!B30</f>
        <v>20</v>
      </c>
      <c r="AF15" s="21">
        <f>ISO!B31</f>
        <v>55</v>
      </c>
      <c r="AG15" s="57"/>
      <c r="AH15" s="60"/>
      <c r="AI15" s="62"/>
      <c r="AJ15" s="57"/>
      <c r="AK15" s="58"/>
      <c r="AL15" s="59"/>
      <c r="AM15" s="80">
        <f>ISO!B101</f>
        <v>75</v>
      </c>
      <c r="AN15" s="81">
        <f>ISO!B102</f>
        <v>20</v>
      </c>
      <c r="AO15" s="21">
        <f>ISO!B103</f>
        <v>55</v>
      </c>
      <c r="AP15" s="20">
        <f>ISO!B149</f>
        <v>75</v>
      </c>
      <c r="AQ15" s="22">
        <f>ISO!B150</f>
        <v>20</v>
      </c>
      <c r="AR15" s="21">
        <f>ISO!B151</f>
        <v>100</v>
      </c>
      <c r="AS15" s="57"/>
      <c r="AT15" s="58"/>
      <c r="AU15" s="59"/>
      <c r="AV15" s="16" t="s">
        <v>58</v>
      </c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 t="s">
        <v>58</v>
      </c>
      <c r="BJ15" s="2"/>
      <c r="BK15" s="2"/>
      <c r="BL15" s="2"/>
      <c r="BM15" s="2"/>
      <c r="BN15" s="2"/>
      <c r="BO15" s="2"/>
      <c r="BP15" s="2"/>
      <c r="BQ15" s="2"/>
      <c r="BR15" s="2" t="s">
        <v>58</v>
      </c>
      <c r="BS15" s="2"/>
      <c r="BT15" s="2"/>
      <c r="BU15" s="2"/>
      <c r="BV15" s="2"/>
      <c r="BW15" s="2"/>
      <c r="BX15" s="2"/>
      <c r="BY15" s="2"/>
      <c r="BZ15" s="2"/>
      <c r="CA15" s="2"/>
      <c r="CB15" s="3"/>
    </row>
    <row r="16" spans="1:81" ht="16.5" outlineLevel="1" thickBot="1" x14ac:dyDescent="0.3">
      <c r="A16" s="13" t="s">
        <v>12</v>
      </c>
      <c r="B16" s="148" t="s">
        <v>65</v>
      </c>
      <c r="C16" s="182">
        <f>AVERAGE(I16,AP16)</f>
        <v>75</v>
      </c>
      <c r="D16" s="183">
        <f t="shared" ref="D16:E16" si="23">AVERAGE(J16,AQ16)</f>
        <v>35</v>
      </c>
      <c r="E16" s="184">
        <f t="shared" si="23"/>
        <v>40</v>
      </c>
      <c r="F16" s="66"/>
      <c r="G16" s="67"/>
      <c r="H16" s="68"/>
      <c r="I16" s="20">
        <f>AIA!B17</f>
        <v>75</v>
      </c>
      <c r="J16" s="22">
        <f>AIA!B18</f>
        <v>50</v>
      </c>
      <c r="K16" s="21">
        <f>AIA!B19</f>
        <v>25</v>
      </c>
      <c r="L16" s="57"/>
      <c r="M16" s="58"/>
      <c r="N16" s="59"/>
      <c r="O16" s="57"/>
      <c r="P16" s="60"/>
      <c r="Q16" s="62"/>
      <c r="R16" s="57"/>
      <c r="S16" s="58"/>
      <c r="T16" s="59"/>
      <c r="U16" s="57"/>
      <c r="V16" s="60"/>
      <c r="W16" s="62"/>
      <c r="X16" s="57"/>
      <c r="Y16" s="58"/>
      <c r="Z16" s="59"/>
      <c r="AA16" s="57"/>
      <c r="AB16" s="58"/>
      <c r="AC16" s="59"/>
      <c r="AD16" s="66"/>
      <c r="AE16" s="67"/>
      <c r="AF16" s="68"/>
      <c r="AG16" s="57"/>
      <c r="AH16" s="60"/>
      <c r="AI16" s="62"/>
      <c r="AJ16" s="57"/>
      <c r="AK16" s="58"/>
      <c r="AL16" s="59"/>
      <c r="AM16" s="83"/>
      <c r="AN16" s="84"/>
      <c r="AO16" s="84"/>
      <c r="AP16" s="20">
        <f>ISO!B155</f>
        <v>75</v>
      </c>
      <c r="AQ16" s="22">
        <f>ISO!B162</f>
        <v>20</v>
      </c>
      <c r="AR16" s="21">
        <f>ISO!B163</f>
        <v>55</v>
      </c>
      <c r="AS16" s="57"/>
      <c r="AT16" s="58"/>
      <c r="AU16" s="59"/>
      <c r="AV16" s="16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3"/>
    </row>
    <row r="17" spans="1:80" ht="16.5" outlineLevel="1" thickBot="1" x14ac:dyDescent="0.3">
      <c r="A17" s="13" t="s">
        <v>13</v>
      </c>
      <c r="B17" s="148" t="s">
        <v>65</v>
      </c>
      <c r="C17" s="182">
        <f>AVERAGE(I17,AP17)</f>
        <v>75</v>
      </c>
      <c r="D17" s="183">
        <f t="shared" ref="D17" si="24">AVERAGE(J17,AQ17)</f>
        <v>35</v>
      </c>
      <c r="E17" s="184">
        <f t="shared" ref="E17" si="25">AVERAGE(K17,AR17)</f>
        <v>40</v>
      </c>
      <c r="F17" s="57"/>
      <c r="G17" s="58"/>
      <c r="H17" s="59"/>
      <c r="I17" s="20">
        <f>AIA!B23</f>
        <v>75</v>
      </c>
      <c r="J17" s="22">
        <f>AIA!B24</f>
        <v>50</v>
      </c>
      <c r="K17" s="21">
        <f>AIA!B25</f>
        <v>25</v>
      </c>
      <c r="L17" s="57"/>
      <c r="M17" s="58"/>
      <c r="N17" s="59"/>
      <c r="O17" s="57"/>
      <c r="P17" s="60"/>
      <c r="Q17" s="62"/>
      <c r="R17" s="57"/>
      <c r="S17" s="58"/>
      <c r="T17" s="59"/>
      <c r="U17" s="57"/>
      <c r="V17" s="60"/>
      <c r="W17" s="62"/>
      <c r="X17" s="57"/>
      <c r="Y17" s="58"/>
      <c r="Z17" s="59"/>
      <c r="AA17" s="57"/>
      <c r="AB17" s="58"/>
      <c r="AC17" s="59"/>
      <c r="AD17" s="57"/>
      <c r="AE17" s="58"/>
      <c r="AF17" s="59"/>
      <c r="AG17" s="57"/>
      <c r="AH17" s="60"/>
      <c r="AI17" s="62"/>
      <c r="AJ17" s="57"/>
      <c r="AK17" s="58"/>
      <c r="AL17" s="59"/>
      <c r="AM17" s="61"/>
      <c r="AN17" s="76"/>
      <c r="AO17" s="76"/>
      <c r="AP17" s="20">
        <f>ISO!B161</f>
        <v>75</v>
      </c>
      <c r="AQ17" s="22">
        <f>ISO!B162</f>
        <v>20</v>
      </c>
      <c r="AR17" s="21">
        <f>ISO!B163</f>
        <v>55</v>
      </c>
      <c r="AS17" s="57"/>
      <c r="AT17" s="58"/>
      <c r="AU17" s="59"/>
      <c r="AV17" s="16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3"/>
    </row>
    <row r="18" spans="1:80" ht="16.5" outlineLevel="1" thickBot="1" x14ac:dyDescent="0.3">
      <c r="A18" s="13" t="s">
        <v>14</v>
      </c>
      <c r="B18" s="148" t="s">
        <v>65</v>
      </c>
      <c r="C18" s="182">
        <f>AVERAGE(AP18)</f>
        <v>75</v>
      </c>
      <c r="D18" s="183">
        <f t="shared" ref="D18:E18" si="26">AVERAGE(AQ18)</f>
        <v>20</v>
      </c>
      <c r="E18" s="184">
        <f t="shared" si="26"/>
        <v>55</v>
      </c>
      <c r="F18" s="57"/>
      <c r="G18" s="58"/>
      <c r="H18" s="59"/>
      <c r="I18" s="60"/>
      <c r="J18" s="60"/>
      <c r="K18" s="61"/>
      <c r="L18" s="57"/>
      <c r="M18" s="58"/>
      <c r="N18" s="59"/>
      <c r="O18" s="57"/>
      <c r="P18" s="60"/>
      <c r="Q18" s="62"/>
      <c r="R18" s="57"/>
      <c r="S18" s="58"/>
      <c r="T18" s="59"/>
      <c r="U18" s="57"/>
      <c r="V18" s="60"/>
      <c r="W18" s="62"/>
      <c r="X18" s="57"/>
      <c r="Y18" s="58"/>
      <c r="Z18" s="59"/>
      <c r="AA18" s="57"/>
      <c r="AB18" s="58"/>
      <c r="AC18" s="59"/>
      <c r="AD18" s="63"/>
      <c r="AE18" s="64"/>
      <c r="AF18" s="65"/>
      <c r="AG18" s="57"/>
      <c r="AH18" s="60"/>
      <c r="AI18" s="62"/>
      <c r="AJ18" s="57"/>
      <c r="AK18" s="58"/>
      <c r="AL18" s="59"/>
      <c r="AM18" s="78"/>
      <c r="AN18" s="79"/>
      <c r="AO18" s="79"/>
      <c r="AP18" s="20">
        <f>ISO!B167</f>
        <v>75</v>
      </c>
      <c r="AQ18" s="22">
        <f>ISO!B168</f>
        <v>20</v>
      </c>
      <c r="AR18" s="21">
        <f>ISO!B169</f>
        <v>55</v>
      </c>
      <c r="AS18" s="57"/>
      <c r="AT18" s="58"/>
      <c r="AU18" s="59"/>
      <c r="AV18" s="16"/>
      <c r="AW18" s="2" t="s">
        <v>58</v>
      </c>
      <c r="AX18" s="2" t="s">
        <v>58</v>
      </c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 t="s">
        <v>58</v>
      </c>
      <c r="CB18" s="3"/>
    </row>
    <row r="19" spans="1:80" ht="16.5" outlineLevel="1" thickBot="1" x14ac:dyDescent="0.3">
      <c r="A19" s="13" t="s">
        <v>15</v>
      </c>
      <c r="B19" s="148" t="s">
        <v>66</v>
      </c>
      <c r="C19" s="182">
        <f>AVERAGE(I19,AD19,AM19)</f>
        <v>75</v>
      </c>
      <c r="D19" s="183">
        <f t="shared" ref="D19:E19" si="27">AVERAGE(J19,AE19,AN19)</f>
        <v>30</v>
      </c>
      <c r="E19" s="184">
        <f t="shared" si="27"/>
        <v>45</v>
      </c>
      <c r="F19" s="57"/>
      <c r="G19" s="58"/>
      <c r="H19" s="59"/>
      <c r="I19" s="20">
        <f>AIA!B29</f>
        <v>75</v>
      </c>
      <c r="J19" s="22">
        <f>AIA!B30</f>
        <v>50</v>
      </c>
      <c r="K19" s="21">
        <f>AIA!B31</f>
        <v>25</v>
      </c>
      <c r="L19" s="57"/>
      <c r="M19" s="58"/>
      <c r="N19" s="59"/>
      <c r="O19" s="57"/>
      <c r="P19" s="60"/>
      <c r="Q19" s="62"/>
      <c r="R19" s="57"/>
      <c r="S19" s="58"/>
      <c r="T19" s="59"/>
      <c r="U19" s="57"/>
      <c r="V19" s="60"/>
      <c r="W19" s="62"/>
      <c r="X19" s="57"/>
      <c r="Y19" s="58"/>
      <c r="Z19" s="59"/>
      <c r="AA19" s="57"/>
      <c r="AB19" s="58"/>
      <c r="AC19" s="59"/>
      <c r="AD19" s="20">
        <f>ISO!B35</f>
        <v>75</v>
      </c>
      <c r="AE19" s="22">
        <f>ISO!B36</f>
        <v>20</v>
      </c>
      <c r="AF19" s="21">
        <f>ISO!B37</f>
        <v>55</v>
      </c>
      <c r="AG19" s="57"/>
      <c r="AH19" s="60"/>
      <c r="AI19" s="62"/>
      <c r="AJ19" s="57"/>
      <c r="AK19" s="58"/>
      <c r="AL19" s="59"/>
      <c r="AM19" s="80">
        <f>ISO!B107</f>
        <v>75</v>
      </c>
      <c r="AN19" s="81">
        <f>ISO!B108</f>
        <v>20</v>
      </c>
      <c r="AO19" s="21">
        <f>ISO!B109</f>
        <v>55</v>
      </c>
      <c r="AP19" s="66"/>
      <c r="AQ19" s="67"/>
      <c r="AR19" s="68"/>
      <c r="AS19" s="57"/>
      <c r="AT19" s="58"/>
      <c r="AU19" s="59"/>
      <c r="AV19" s="16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3"/>
    </row>
    <row r="20" spans="1:80" ht="16.5" outlineLevel="1" thickBot="1" x14ac:dyDescent="0.3">
      <c r="A20" s="13" t="s">
        <v>16</v>
      </c>
      <c r="B20" s="148"/>
      <c r="C20" s="182">
        <f>AVERAGE(I20,AD20,AM20)</f>
        <v>75</v>
      </c>
      <c r="D20" s="183">
        <f t="shared" ref="D20" si="28">AVERAGE(J20,AE20,AN20)</f>
        <v>30</v>
      </c>
      <c r="E20" s="184">
        <f t="shared" ref="E20" si="29">AVERAGE(K20,AF20,AO20)</f>
        <v>45</v>
      </c>
      <c r="F20" s="57"/>
      <c r="G20" s="58"/>
      <c r="H20" s="59"/>
      <c r="I20" s="20">
        <f>AIA!B35</f>
        <v>75</v>
      </c>
      <c r="J20" s="22">
        <f>AIA!B36</f>
        <v>50</v>
      </c>
      <c r="K20" s="21">
        <f>AIA!B37</f>
        <v>25</v>
      </c>
      <c r="L20" s="57"/>
      <c r="M20" s="58"/>
      <c r="N20" s="59"/>
      <c r="O20" s="57"/>
      <c r="P20" s="60"/>
      <c r="Q20" s="62"/>
      <c r="R20" s="57"/>
      <c r="S20" s="58"/>
      <c r="T20" s="59"/>
      <c r="U20" s="57"/>
      <c r="V20" s="60"/>
      <c r="W20" s="62"/>
      <c r="X20" s="57"/>
      <c r="Y20" s="58"/>
      <c r="Z20" s="59"/>
      <c r="AA20" s="57"/>
      <c r="AB20" s="58"/>
      <c r="AC20" s="59"/>
      <c r="AD20" s="20">
        <f>ISO!B41</f>
        <v>75</v>
      </c>
      <c r="AE20" s="22">
        <f>ISO!B42</f>
        <v>20</v>
      </c>
      <c r="AF20" s="21">
        <f>ISO!B43</f>
        <v>55</v>
      </c>
      <c r="AG20" s="57"/>
      <c r="AH20" s="60"/>
      <c r="AI20" s="62"/>
      <c r="AJ20" s="57"/>
      <c r="AK20" s="58"/>
      <c r="AL20" s="59"/>
      <c r="AM20" s="80">
        <f>ISO!B113</f>
        <v>75</v>
      </c>
      <c r="AN20" s="81">
        <f>ISO!B114</f>
        <v>20</v>
      </c>
      <c r="AO20" s="21">
        <f>ISO!B115</f>
        <v>55</v>
      </c>
      <c r="AP20" s="63"/>
      <c r="AQ20" s="64"/>
      <c r="AR20" s="65"/>
      <c r="AS20" s="57"/>
      <c r="AT20" s="58"/>
      <c r="AU20" s="59"/>
      <c r="AV20" s="16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3"/>
    </row>
    <row r="21" spans="1:80" ht="16.5" outlineLevel="1" thickBot="1" x14ac:dyDescent="0.3">
      <c r="A21" s="13" t="s">
        <v>17</v>
      </c>
      <c r="B21" s="148"/>
      <c r="C21" s="182">
        <f>AVERAGE(AM21,AP21)</f>
        <v>75</v>
      </c>
      <c r="D21" s="183">
        <f t="shared" ref="D21:E21" si="30">AVERAGE(AN21,AQ21)</f>
        <v>20</v>
      </c>
      <c r="E21" s="184">
        <f t="shared" si="30"/>
        <v>55</v>
      </c>
      <c r="F21" s="57"/>
      <c r="G21" s="58"/>
      <c r="H21" s="59"/>
      <c r="I21" s="60"/>
      <c r="J21" s="60"/>
      <c r="K21" s="61"/>
      <c r="L21" s="57"/>
      <c r="M21" s="58"/>
      <c r="N21" s="59"/>
      <c r="O21" s="57"/>
      <c r="P21" s="60"/>
      <c r="Q21" s="62"/>
      <c r="R21" s="57"/>
      <c r="S21" s="58"/>
      <c r="T21" s="59"/>
      <c r="U21" s="57"/>
      <c r="V21" s="60"/>
      <c r="W21" s="62"/>
      <c r="X21" s="57"/>
      <c r="Y21" s="58"/>
      <c r="Z21" s="59"/>
      <c r="AA21" s="57"/>
      <c r="AB21" s="58"/>
      <c r="AC21" s="59"/>
      <c r="AD21" s="66"/>
      <c r="AE21" s="67"/>
      <c r="AF21" s="68"/>
      <c r="AG21" s="57"/>
      <c r="AH21" s="60"/>
      <c r="AI21" s="62"/>
      <c r="AJ21" s="57"/>
      <c r="AK21" s="58"/>
      <c r="AL21" s="59"/>
      <c r="AM21" s="80">
        <f>ISO!B119</f>
        <v>75</v>
      </c>
      <c r="AN21" s="81">
        <f>ISO!B120</f>
        <v>20</v>
      </c>
      <c r="AO21" s="21">
        <f>ISO!B121</f>
        <v>55</v>
      </c>
      <c r="AP21" s="20">
        <f>ISO!B173</f>
        <v>75</v>
      </c>
      <c r="AQ21" s="22">
        <f>ISO!B174</f>
        <v>20</v>
      </c>
      <c r="AR21" s="21">
        <f>ISO!B175</f>
        <v>55</v>
      </c>
      <c r="AS21" s="57"/>
      <c r="AT21" s="58"/>
      <c r="AU21" s="59"/>
      <c r="AV21" s="16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3"/>
    </row>
    <row r="22" spans="1:80" ht="16.5" outlineLevel="1" thickBot="1" x14ac:dyDescent="0.3">
      <c r="A22" s="13" t="s">
        <v>18</v>
      </c>
      <c r="B22" s="148"/>
      <c r="C22" s="182">
        <f>AVERAGE(AM22,AP22)</f>
        <v>75</v>
      </c>
      <c r="D22" s="183">
        <f t="shared" ref="D22" si="31">AVERAGE(AN22,AQ22)</f>
        <v>20</v>
      </c>
      <c r="E22" s="184">
        <f t="shared" ref="E22" si="32">AVERAGE(AO22,AR22)</f>
        <v>55</v>
      </c>
      <c r="F22" s="57"/>
      <c r="G22" s="58"/>
      <c r="H22" s="59"/>
      <c r="I22" s="60"/>
      <c r="J22" s="60"/>
      <c r="K22" s="61"/>
      <c r="L22" s="57"/>
      <c r="M22" s="58"/>
      <c r="N22" s="59"/>
      <c r="O22" s="57"/>
      <c r="P22" s="60"/>
      <c r="Q22" s="62"/>
      <c r="R22" s="57"/>
      <c r="S22" s="58"/>
      <c r="T22" s="59"/>
      <c r="U22" s="57"/>
      <c r="V22" s="60"/>
      <c r="W22" s="62"/>
      <c r="X22" s="57"/>
      <c r="Y22" s="58"/>
      <c r="Z22" s="59"/>
      <c r="AA22" s="57"/>
      <c r="AB22" s="58"/>
      <c r="AC22" s="59"/>
      <c r="AD22" s="57"/>
      <c r="AE22" s="58"/>
      <c r="AF22" s="59"/>
      <c r="AG22" s="57"/>
      <c r="AH22" s="60"/>
      <c r="AI22" s="62"/>
      <c r="AJ22" s="57"/>
      <c r="AK22" s="58"/>
      <c r="AL22" s="59"/>
      <c r="AM22" s="80">
        <f>ISO!B125</f>
        <v>75</v>
      </c>
      <c r="AN22" s="81">
        <f>ISO!B126</f>
        <v>20</v>
      </c>
      <c r="AO22" s="21">
        <f>ISO!B127</f>
        <v>55</v>
      </c>
      <c r="AP22" s="20">
        <f>ISO!B179</f>
        <v>75</v>
      </c>
      <c r="AQ22" s="22">
        <f>ISO!B180</f>
        <v>20</v>
      </c>
      <c r="AR22" s="21">
        <f>ISO!B181</f>
        <v>55</v>
      </c>
      <c r="AS22" s="57"/>
      <c r="AT22" s="58"/>
      <c r="AU22" s="59"/>
      <c r="AV22" s="16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3"/>
    </row>
    <row r="23" spans="1:80" ht="16.5" outlineLevel="1" thickBot="1" x14ac:dyDescent="0.3">
      <c r="A23" s="13" t="s">
        <v>19</v>
      </c>
      <c r="B23" s="148" t="s">
        <v>65</v>
      </c>
      <c r="C23" s="182">
        <f>AVERAGE(O23,AP23)</f>
        <v>75</v>
      </c>
      <c r="D23" s="183">
        <f t="shared" ref="D23:E23" si="33">AVERAGE(P23,AQ23)</f>
        <v>20</v>
      </c>
      <c r="E23" s="184">
        <f t="shared" si="33"/>
        <v>55</v>
      </c>
      <c r="F23" s="57"/>
      <c r="G23" s="58"/>
      <c r="H23" s="59"/>
      <c r="I23" s="60"/>
      <c r="J23" s="60"/>
      <c r="K23" s="61"/>
      <c r="L23" s="57"/>
      <c r="M23" s="58"/>
      <c r="N23" s="59"/>
      <c r="O23" s="11">
        <f>ECMA!B5</f>
        <v>75</v>
      </c>
      <c r="P23" s="16">
        <f>ECMA!B6</f>
        <v>20</v>
      </c>
      <c r="Q23" s="19">
        <f>ECMA!B7</f>
        <v>55</v>
      </c>
      <c r="R23" s="57"/>
      <c r="S23" s="58"/>
      <c r="T23" s="59"/>
      <c r="U23" s="57"/>
      <c r="V23" s="60"/>
      <c r="W23" s="62"/>
      <c r="X23" s="57"/>
      <c r="Y23" s="58"/>
      <c r="Z23" s="59"/>
      <c r="AA23" s="57"/>
      <c r="AB23" s="58"/>
      <c r="AC23" s="59"/>
      <c r="AD23" s="57"/>
      <c r="AE23" s="58"/>
      <c r="AF23" s="59"/>
      <c r="AG23" s="57"/>
      <c r="AH23" s="60"/>
      <c r="AI23" s="62"/>
      <c r="AJ23" s="57"/>
      <c r="AK23" s="58"/>
      <c r="AL23" s="59"/>
      <c r="AM23" s="83"/>
      <c r="AN23" s="84"/>
      <c r="AO23" s="84"/>
      <c r="AP23" s="20">
        <f>ISO!B185</f>
        <v>75</v>
      </c>
      <c r="AQ23" s="22">
        <f>ISO!B186</f>
        <v>20</v>
      </c>
      <c r="AR23" s="21">
        <f>ISO!B187</f>
        <v>55</v>
      </c>
      <c r="AS23" s="57"/>
      <c r="AT23" s="58"/>
      <c r="AU23" s="59"/>
      <c r="AV23" s="16"/>
      <c r="AW23" s="2" t="s">
        <v>58</v>
      </c>
      <c r="AX23" s="2"/>
      <c r="AY23" s="2" t="s">
        <v>58</v>
      </c>
      <c r="AZ23" s="2" t="s">
        <v>58</v>
      </c>
      <c r="BA23" s="2"/>
      <c r="BB23" s="2"/>
      <c r="BC23" s="2"/>
      <c r="BD23" s="2" t="s">
        <v>58</v>
      </c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 t="s">
        <v>58</v>
      </c>
      <c r="BT23" s="2"/>
      <c r="BU23" s="2"/>
      <c r="BV23" s="2"/>
      <c r="BW23" s="2"/>
      <c r="BX23" s="2"/>
      <c r="BY23" s="2"/>
      <c r="BZ23" s="2"/>
      <c r="CA23" s="2"/>
      <c r="CB23" s="3"/>
    </row>
    <row r="24" spans="1:80" ht="16.5" outlineLevel="1" thickBot="1" x14ac:dyDescent="0.3">
      <c r="A24" s="13" t="s">
        <v>20</v>
      </c>
      <c r="B24" s="148"/>
      <c r="C24" s="182">
        <f>AVERAGE(O24,AP24)</f>
        <v>75</v>
      </c>
      <c r="D24" s="183">
        <f t="shared" ref="D24" si="34">AVERAGE(P24,AQ24)</f>
        <v>20</v>
      </c>
      <c r="E24" s="184">
        <f t="shared" ref="E24" si="35">AVERAGE(Q24,AR24)</f>
        <v>55</v>
      </c>
      <c r="F24" s="57"/>
      <c r="G24" s="58"/>
      <c r="H24" s="59"/>
      <c r="I24" s="60"/>
      <c r="J24" s="60"/>
      <c r="K24" s="61"/>
      <c r="L24" s="57"/>
      <c r="M24" s="58"/>
      <c r="N24" s="59"/>
      <c r="O24" s="11">
        <f>ECMA!B11</f>
        <v>75</v>
      </c>
      <c r="P24" s="16">
        <f>ECMA!B12</f>
        <v>20</v>
      </c>
      <c r="Q24" s="19">
        <f>ECMA!B13</f>
        <v>55</v>
      </c>
      <c r="R24" s="57"/>
      <c r="S24" s="58"/>
      <c r="T24" s="59"/>
      <c r="U24" s="57"/>
      <c r="V24" s="60"/>
      <c r="W24" s="62"/>
      <c r="X24" s="57"/>
      <c r="Y24" s="58"/>
      <c r="Z24" s="59"/>
      <c r="AA24" s="57"/>
      <c r="AB24" s="58"/>
      <c r="AC24" s="59"/>
      <c r="AD24" s="57"/>
      <c r="AE24" s="58"/>
      <c r="AF24" s="59"/>
      <c r="AG24" s="57"/>
      <c r="AH24" s="60"/>
      <c r="AI24" s="62"/>
      <c r="AJ24" s="57"/>
      <c r="AK24" s="58"/>
      <c r="AL24" s="59"/>
      <c r="AM24" s="61"/>
      <c r="AN24" s="76"/>
      <c r="AO24" s="76"/>
      <c r="AP24" s="20">
        <f>ISO!B191</f>
        <v>75</v>
      </c>
      <c r="AQ24" s="22">
        <f>ISO!B192</f>
        <v>20</v>
      </c>
      <c r="AR24" s="21">
        <f>ISO!B193</f>
        <v>55</v>
      </c>
      <c r="AS24" s="57"/>
      <c r="AT24" s="58"/>
      <c r="AU24" s="59"/>
      <c r="AV24" s="16"/>
      <c r="AW24" s="2" t="s">
        <v>58</v>
      </c>
      <c r="AX24" s="2" t="s">
        <v>58</v>
      </c>
      <c r="AY24" s="2" t="s">
        <v>58</v>
      </c>
      <c r="AZ24" s="2" t="s">
        <v>58</v>
      </c>
      <c r="BA24" s="2"/>
      <c r="BB24" s="2"/>
      <c r="BC24" s="2"/>
      <c r="BD24" s="2" t="s">
        <v>58</v>
      </c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 t="s">
        <v>58</v>
      </c>
      <c r="CB24" s="3"/>
    </row>
    <row r="25" spans="1:80" ht="16.5" outlineLevel="1" thickBot="1" x14ac:dyDescent="0.3">
      <c r="A25" s="13" t="s">
        <v>21</v>
      </c>
      <c r="B25" s="148"/>
      <c r="C25" s="182"/>
      <c r="D25" s="183"/>
      <c r="E25" s="184"/>
      <c r="F25" s="57"/>
      <c r="G25" s="58"/>
      <c r="H25" s="59"/>
      <c r="I25" s="60"/>
      <c r="J25" s="60"/>
      <c r="K25" s="61"/>
      <c r="L25" s="57"/>
      <c r="M25" s="58"/>
      <c r="N25" s="59"/>
      <c r="O25" s="57"/>
      <c r="P25" s="60"/>
      <c r="Q25" s="62"/>
      <c r="R25" s="57"/>
      <c r="S25" s="58"/>
      <c r="T25" s="59"/>
      <c r="U25" s="57"/>
      <c r="V25" s="60"/>
      <c r="W25" s="62"/>
      <c r="X25" s="63"/>
      <c r="Y25" s="64"/>
      <c r="Z25" s="65"/>
      <c r="AA25" s="57"/>
      <c r="AB25" s="58"/>
      <c r="AC25" s="59"/>
      <c r="AD25" s="57"/>
      <c r="AE25" s="58"/>
      <c r="AF25" s="59"/>
      <c r="AG25" s="57"/>
      <c r="AH25" s="60"/>
      <c r="AI25" s="62"/>
      <c r="AJ25" s="57"/>
      <c r="AK25" s="58"/>
      <c r="AL25" s="59"/>
      <c r="AM25" s="61"/>
      <c r="AN25" s="76"/>
      <c r="AO25" s="76"/>
      <c r="AP25" s="66"/>
      <c r="AQ25" s="67"/>
      <c r="AR25" s="68"/>
      <c r="AS25" s="57"/>
      <c r="AT25" s="58"/>
      <c r="AU25" s="59"/>
      <c r="AV25" s="16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 t="s">
        <v>58</v>
      </c>
      <c r="BI25" s="2"/>
      <c r="BJ25" s="2" t="s">
        <v>58</v>
      </c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3"/>
    </row>
    <row r="26" spans="1:80" ht="16.5" outlineLevel="1" thickBot="1" x14ac:dyDescent="0.3">
      <c r="A26" s="13" t="s">
        <v>22</v>
      </c>
      <c r="B26" s="148"/>
      <c r="C26" s="182">
        <f>AVERAGE(X26,AJ26)</f>
        <v>75</v>
      </c>
      <c r="D26" s="183">
        <f t="shared" ref="D26:E26" si="36">AVERAGE(Y26,AK26)</f>
        <v>20</v>
      </c>
      <c r="E26" s="184">
        <f t="shared" si="36"/>
        <v>55</v>
      </c>
      <c r="F26" s="57"/>
      <c r="G26" s="58"/>
      <c r="H26" s="59"/>
      <c r="I26" s="60"/>
      <c r="J26" s="60"/>
      <c r="K26" s="61"/>
      <c r="L26" s="63"/>
      <c r="M26" s="64"/>
      <c r="N26" s="65"/>
      <c r="O26" s="57"/>
      <c r="P26" s="60"/>
      <c r="Q26" s="62"/>
      <c r="R26" s="57"/>
      <c r="S26" s="58"/>
      <c r="T26" s="59"/>
      <c r="U26" s="57"/>
      <c r="V26" s="60"/>
      <c r="W26" s="62"/>
      <c r="X26" s="20">
        <f>ISO!B5</f>
        <v>75</v>
      </c>
      <c r="Y26" s="22">
        <f>ISO!B6</f>
        <v>20</v>
      </c>
      <c r="Z26" s="21">
        <f>ISO!B7</f>
        <v>55</v>
      </c>
      <c r="AA26" s="57"/>
      <c r="AB26" s="58"/>
      <c r="AC26" s="59"/>
      <c r="AD26" s="57"/>
      <c r="AE26" s="58"/>
      <c r="AF26" s="59"/>
      <c r="AG26" s="57"/>
      <c r="AH26" s="60"/>
      <c r="AI26" s="62"/>
      <c r="AJ26" s="11">
        <f>ISO!B71</f>
        <v>75</v>
      </c>
      <c r="AK26" s="2">
        <f>ISO!B72</f>
        <v>20</v>
      </c>
      <c r="AL26" s="3">
        <f>ISO!B73</f>
        <v>55</v>
      </c>
      <c r="AM26" s="61"/>
      <c r="AN26" s="76"/>
      <c r="AO26" s="76"/>
      <c r="AP26" s="57"/>
      <c r="AQ26" s="58"/>
      <c r="AR26" s="59"/>
      <c r="AS26" s="57"/>
      <c r="AT26" s="58"/>
      <c r="AU26" s="59"/>
      <c r="AV26" s="16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 t="s">
        <v>58</v>
      </c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3"/>
    </row>
    <row r="27" spans="1:80" ht="16.5" outlineLevel="1" thickBot="1" x14ac:dyDescent="0.3">
      <c r="A27" s="13" t="s">
        <v>23</v>
      </c>
      <c r="B27" s="148"/>
      <c r="C27" s="182">
        <f>AVERAGE(L27)</f>
        <v>75</v>
      </c>
      <c r="D27" s="183">
        <f t="shared" ref="D27:E27" si="37">AVERAGE(M27)</f>
        <v>20</v>
      </c>
      <c r="E27" s="184">
        <f t="shared" si="37"/>
        <v>55</v>
      </c>
      <c r="F27" s="57"/>
      <c r="G27" s="58"/>
      <c r="H27" s="59"/>
      <c r="I27" s="60"/>
      <c r="J27" s="60"/>
      <c r="K27" s="61"/>
      <c r="L27" s="20">
        <f>ANSI!B5</f>
        <v>75</v>
      </c>
      <c r="M27" s="22">
        <f>ANSI!B6</f>
        <v>20</v>
      </c>
      <c r="N27" s="21">
        <f>ANSI!B7</f>
        <v>55</v>
      </c>
      <c r="O27" s="57"/>
      <c r="P27" s="60"/>
      <c r="Q27" s="62"/>
      <c r="R27" s="57"/>
      <c r="S27" s="58"/>
      <c r="T27" s="59"/>
      <c r="U27" s="63"/>
      <c r="V27" s="110"/>
      <c r="W27" s="111"/>
      <c r="X27" s="120"/>
      <c r="Y27" s="121"/>
      <c r="Z27" s="122"/>
      <c r="AA27" s="57"/>
      <c r="AB27" s="58"/>
      <c r="AC27" s="59"/>
      <c r="AD27" s="57"/>
      <c r="AE27" s="58"/>
      <c r="AF27" s="59"/>
      <c r="AG27" s="57"/>
      <c r="AH27" s="60"/>
      <c r="AI27" s="62"/>
      <c r="AJ27" s="57"/>
      <c r="AK27" s="58"/>
      <c r="AL27" s="59"/>
      <c r="AM27" s="61"/>
      <c r="AN27" s="76"/>
      <c r="AO27" s="76"/>
      <c r="AP27" s="57"/>
      <c r="AQ27" s="58"/>
      <c r="AR27" s="59"/>
      <c r="AS27" s="57"/>
      <c r="AT27" s="58"/>
      <c r="AU27" s="59"/>
      <c r="AV27" s="16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3"/>
    </row>
    <row r="28" spans="1:80" ht="16.5" outlineLevel="1" thickBot="1" x14ac:dyDescent="0.3">
      <c r="A28" s="13" t="s">
        <v>24</v>
      </c>
      <c r="B28" s="148"/>
      <c r="C28" s="182">
        <f>AVERAGE(L28,U28,X28)</f>
        <v>75</v>
      </c>
      <c r="D28" s="183">
        <f t="shared" ref="D28:E28" si="38">AVERAGE(M28,V28,Y28)</f>
        <v>20</v>
      </c>
      <c r="E28" s="184">
        <f t="shared" si="38"/>
        <v>55</v>
      </c>
      <c r="F28" s="57"/>
      <c r="G28" s="58"/>
      <c r="H28" s="59"/>
      <c r="I28" s="60"/>
      <c r="J28" s="60"/>
      <c r="K28" s="61"/>
      <c r="L28" s="20">
        <f>ANSI!B11</f>
        <v>75</v>
      </c>
      <c r="M28" s="22">
        <f>ANSI!B12</f>
        <v>20</v>
      </c>
      <c r="N28" s="21">
        <f>ANSI!B13</f>
        <v>55</v>
      </c>
      <c r="O28" s="57"/>
      <c r="P28" s="60"/>
      <c r="Q28" s="62"/>
      <c r="R28" s="57"/>
      <c r="S28" s="58"/>
      <c r="T28" s="59"/>
      <c r="U28" s="20">
        <f>ISA!B5</f>
        <v>75</v>
      </c>
      <c r="V28" s="112">
        <f>ISA!B6</f>
        <v>20</v>
      </c>
      <c r="W28" s="47">
        <f>ISA!B7</f>
        <v>55</v>
      </c>
      <c r="X28" s="20">
        <f>ISO!B11</f>
        <v>75</v>
      </c>
      <c r="Y28" s="22">
        <f>ISO!B12</f>
        <v>20</v>
      </c>
      <c r="Z28" s="21">
        <f>ISO!B13</f>
        <v>55</v>
      </c>
      <c r="AA28" s="57"/>
      <c r="AB28" s="58"/>
      <c r="AC28" s="59"/>
      <c r="AD28" s="57"/>
      <c r="AE28" s="58"/>
      <c r="AF28" s="59"/>
      <c r="AG28" s="57"/>
      <c r="AH28" s="60"/>
      <c r="AI28" s="62"/>
      <c r="AJ28" s="57"/>
      <c r="AK28" s="58"/>
      <c r="AL28" s="59"/>
      <c r="AM28" s="61"/>
      <c r="AN28" s="76"/>
      <c r="AO28" s="76"/>
      <c r="AP28" s="57"/>
      <c r="AQ28" s="58"/>
      <c r="AR28" s="59"/>
      <c r="AS28" s="57"/>
      <c r="AT28" s="58"/>
      <c r="AU28" s="59"/>
      <c r="AV28" s="16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3"/>
    </row>
    <row r="29" spans="1:80" ht="16.5" outlineLevel="1" thickBot="1" x14ac:dyDescent="0.3">
      <c r="A29" s="13" t="s">
        <v>25</v>
      </c>
      <c r="B29" s="148"/>
      <c r="C29" s="182">
        <f>AVERAGE(U29,X29)</f>
        <v>75</v>
      </c>
      <c r="D29" s="183">
        <f t="shared" ref="D29:E29" si="39">AVERAGE(V29,Y29)</f>
        <v>20</v>
      </c>
      <c r="E29" s="184">
        <f t="shared" si="39"/>
        <v>55</v>
      </c>
      <c r="F29" s="57"/>
      <c r="G29" s="58"/>
      <c r="H29" s="59"/>
      <c r="I29" s="60"/>
      <c r="J29" s="60"/>
      <c r="K29" s="61"/>
      <c r="L29" s="66"/>
      <c r="M29" s="67"/>
      <c r="N29" s="68"/>
      <c r="O29" s="57"/>
      <c r="P29" s="60"/>
      <c r="Q29" s="62"/>
      <c r="R29" s="57"/>
      <c r="S29" s="58"/>
      <c r="T29" s="59"/>
      <c r="U29" s="20">
        <f>ISA!B11</f>
        <v>75</v>
      </c>
      <c r="V29" s="112">
        <f>ISA!B12</f>
        <v>20</v>
      </c>
      <c r="W29" s="47">
        <f>ISA!B13</f>
        <v>55</v>
      </c>
      <c r="X29" s="20">
        <f>ISO!B17</f>
        <v>75</v>
      </c>
      <c r="Y29" s="22">
        <f>ISO!B18</f>
        <v>20</v>
      </c>
      <c r="Z29" s="21">
        <f>ISO!B19</f>
        <v>55</v>
      </c>
      <c r="AA29" s="57"/>
      <c r="AB29" s="58"/>
      <c r="AC29" s="59"/>
      <c r="AD29" s="57"/>
      <c r="AE29" s="58"/>
      <c r="AF29" s="59"/>
      <c r="AG29" s="57"/>
      <c r="AH29" s="60"/>
      <c r="AI29" s="62"/>
      <c r="AJ29" s="57"/>
      <c r="AK29" s="58"/>
      <c r="AL29" s="59"/>
      <c r="AM29" s="61"/>
      <c r="AN29" s="76"/>
      <c r="AO29" s="76"/>
      <c r="AP29" s="63"/>
      <c r="AQ29" s="64"/>
      <c r="AR29" s="65"/>
      <c r="AS29" s="57"/>
      <c r="AT29" s="58"/>
      <c r="AU29" s="59"/>
      <c r="AV29" s="16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3"/>
    </row>
    <row r="30" spans="1:80" ht="16.5" outlineLevel="1" thickBot="1" x14ac:dyDescent="0.3">
      <c r="A30" s="14" t="s">
        <v>26</v>
      </c>
      <c r="B30" s="149"/>
      <c r="C30" s="185">
        <f>AVERAGE(AP30)</f>
        <v>75</v>
      </c>
      <c r="D30" s="186">
        <f t="shared" ref="D30:E30" si="40">AVERAGE(AQ30)</f>
        <v>20</v>
      </c>
      <c r="E30" s="187">
        <f t="shared" si="40"/>
        <v>55</v>
      </c>
      <c r="F30" s="69"/>
      <c r="G30" s="70"/>
      <c r="H30" s="71"/>
      <c r="I30" s="72"/>
      <c r="J30" s="72"/>
      <c r="K30" s="73"/>
      <c r="L30" s="69"/>
      <c r="M30" s="70"/>
      <c r="N30" s="71"/>
      <c r="O30" s="69"/>
      <c r="P30" s="72"/>
      <c r="Q30" s="74"/>
      <c r="R30" s="69"/>
      <c r="S30" s="70"/>
      <c r="T30" s="71"/>
      <c r="U30" s="113"/>
      <c r="V30" s="114"/>
      <c r="W30" s="115"/>
      <c r="X30" s="113"/>
      <c r="Y30" s="116"/>
      <c r="Z30" s="117"/>
      <c r="AA30" s="69"/>
      <c r="AB30" s="70"/>
      <c r="AC30" s="71"/>
      <c r="AD30" s="69"/>
      <c r="AE30" s="70"/>
      <c r="AF30" s="71"/>
      <c r="AG30" s="69"/>
      <c r="AH30" s="72"/>
      <c r="AI30" s="74"/>
      <c r="AJ30" s="69"/>
      <c r="AK30" s="70"/>
      <c r="AL30" s="71"/>
      <c r="AM30" s="73"/>
      <c r="AN30" s="75"/>
      <c r="AO30" s="75"/>
      <c r="AP30" s="20">
        <f>ISO!B197</f>
        <v>75</v>
      </c>
      <c r="AQ30" s="22">
        <f>ISO!B198</f>
        <v>20</v>
      </c>
      <c r="AR30" s="21">
        <f>ISO!B199</f>
        <v>55</v>
      </c>
      <c r="AS30" s="69"/>
      <c r="AT30" s="70"/>
      <c r="AU30" s="71"/>
      <c r="AV30" s="17" t="s">
        <v>58</v>
      </c>
      <c r="AW30" s="4"/>
      <c r="AX30" s="4"/>
      <c r="AY30" s="4" t="s">
        <v>58</v>
      </c>
      <c r="AZ30" s="4" t="s">
        <v>58</v>
      </c>
      <c r="BA30" s="4"/>
      <c r="BB30" s="4"/>
      <c r="BC30" s="4" t="s">
        <v>58</v>
      </c>
      <c r="BD30" s="4" t="s">
        <v>58</v>
      </c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 t="s">
        <v>58</v>
      </c>
      <c r="BS30" s="4"/>
      <c r="BT30" s="4"/>
      <c r="BU30" s="4"/>
      <c r="BV30" s="4"/>
      <c r="BW30" s="4"/>
      <c r="BX30" s="4"/>
      <c r="BY30" s="4"/>
      <c r="BZ30" s="4"/>
      <c r="CA30" s="4"/>
      <c r="CB30" s="5"/>
    </row>
    <row r="31" spans="1:80" x14ac:dyDescent="0.25"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</row>
  </sheetData>
  <dataConsolidate/>
  <mergeCells count="26">
    <mergeCell ref="C2:E2"/>
    <mergeCell ref="O1:Q1"/>
    <mergeCell ref="F2:H2"/>
    <mergeCell ref="BT1:CB1"/>
    <mergeCell ref="BQ1:BS1"/>
    <mergeCell ref="BK1:BO1"/>
    <mergeCell ref="BH1:BI1"/>
    <mergeCell ref="BF1:BG1"/>
    <mergeCell ref="I2:K2"/>
    <mergeCell ref="L1:N1"/>
    <mergeCell ref="L2:N2"/>
    <mergeCell ref="F1:K1"/>
    <mergeCell ref="O2:Q2"/>
    <mergeCell ref="R2:T2"/>
    <mergeCell ref="R1:T1"/>
    <mergeCell ref="X2:Z2"/>
    <mergeCell ref="U2:W2"/>
    <mergeCell ref="U1:W1"/>
    <mergeCell ref="AA2:AC2"/>
    <mergeCell ref="AD2:AF2"/>
    <mergeCell ref="X1:BE1"/>
    <mergeCell ref="AP2:AR2"/>
    <mergeCell ref="AS2:AU2"/>
    <mergeCell ref="AG2:AI2"/>
    <mergeCell ref="AJ2:AL2"/>
    <mergeCell ref="AM2:AO2"/>
  </mergeCells>
  <conditionalFormatting sqref="C5:AT30">
    <cfRule type="iconSet" priority="2">
      <iconSet iconSet="4TrafficLights">
        <cfvo type="percent" val="0"/>
        <cfvo type="percent" val="25"/>
        <cfvo type="percent" val="50"/>
        <cfvo type="percent" val="75"/>
      </iconSet>
    </cfRule>
  </conditionalFormatting>
  <conditionalFormatting sqref="F3:AR3">
    <cfRule type="iconSet" priority="1">
      <iconSet iconSet="4TrafficLights">
        <cfvo type="percent" val="0"/>
        <cfvo type="percent" val="25"/>
        <cfvo type="percent" val="50"/>
        <cfvo type="percent" val="75"/>
      </iconSet>
    </cfRule>
  </conditionalFormatting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9"/>
  <sheetViews>
    <sheetView workbookViewId="0">
      <selection activeCell="A2" sqref="A2:B2"/>
    </sheetView>
  </sheetViews>
  <sheetFormatPr defaultRowHeight="15.75" x14ac:dyDescent="0.25"/>
  <cols>
    <col min="1" max="1" width="9" style="18"/>
  </cols>
  <sheetData>
    <row r="2" spans="1:2" x14ac:dyDescent="0.25">
      <c r="A2" s="48" t="s">
        <v>114</v>
      </c>
      <c r="B2" s="49" t="s">
        <v>115</v>
      </c>
    </row>
    <row r="3" spans="1:2" x14ac:dyDescent="0.25">
      <c r="A3" s="18">
        <v>1</v>
      </c>
      <c r="B3" t="s">
        <v>107</v>
      </c>
    </row>
    <row r="4" spans="1:2" x14ac:dyDescent="0.25">
      <c r="A4" s="18">
        <v>2</v>
      </c>
      <c r="B4" t="s">
        <v>108</v>
      </c>
    </row>
    <row r="5" spans="1:2" x14ac:dyDescent="0.25">
      <c r="A5" s="18">
        <v>3</v>
      </c>
      <c r="B5" t="s">
        <v>109</v>
      </c>
    </row>
    <row r="6" spans="1:2" x14ac:dyDescent="0.25">
      <c r="A6" s="18">
        <v>4</v>
      </c>
      <c r="B6" t="s">
        <v>110</v>
      </c>
    </row>
    <row r="7" spans="1:2" x14ac:dyDescent="0.25">
      <c r="A7" s="18">
        <v>5</v>
      </c>
      <c r="B7" t="s">
        <v>111</v>
      </c>
    </row>
    <row r="8" spans="1:2" x14ac:dyDescent="0.25">
      <c r="A8" s="18">
        <v>6</v>
      </c>
      <c r="B8" t="s">
        <v>112</v>
      </c>
    </row>
    <row r="9" spans="1:2" x14ac:dyDescent="0.25">
      <c r="A9" s="18">
        <v>7</v>
      </c>
      <c r="B9" t="s">
        <v>113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7"/>
  <sheetViews>
    <sheetView zoomScale="90" zoomScaleNormal="90" workbookViewId="0">
      <selection activeCell="B6" sqref="B6"/>
    </sheetView>
  </sheetViews>
  <sheetFormatPr defaultColWidth="8.875" defaultRowHeight="15.75" x14ac:dyDescent="0.25"/>
  <cols>
    <col min="1" max="1" width="31" bestFit="1" customWidth="1"/>
    <col min="2" max="2" width="32" style="18" bestFit="1" customWidth="1"/>
    <col min="3" max="3" width="29.875" customWidth="1"/>
    <col min="4" max="4" width="24.875" customWidth="1"/>
    <col min="5" max="5" width="29.5" customWidth="1"/>
  </cols>
  <sheetData>
    <row r="1" spans="1:5" ht="21.75" thickBot="1" x14ac:dyDescent="0.4">
      <c r="A1" s="32" t="s">
        <v>90</v>
      </c>
      <c r="B1" s="33" t="s">
        <v>74</v>
      </c>
      <c r="C1" s="23" t="s">
        <v>102</v>
      </c>
      <c r="D1" s="30" t="s">
        <v>103</v>
      </c>
      <c r="E1" s="31" t="s">
        <v>104</v>
      </c>
    </row>
    <row r="2" spans="1:5" x14ac:dyDescent="0.25">
      <c r="A2" s="35" t="s">
        <v>88</v>
      </c>
      <c r="B2" s="36" t="s">
        <v>89</v>
      </c>
      <c r="C2" s="24"/>
      <c r="D2" s="24"/>
      <c r="E2" s="25"/>
    </row>
    <row r="3" spans="1:5" x14ac:dyDescent="0.25">
      <c r="A3" s="37" t="s">
        <v>91</v>
      </c>
      <c r="B3" s="38" t="s">
        <v>92</v>
      </c>
      <c r="C3" s="26"/>
      <c r="D3" s="26"/>
      <c r="E3" s="27"/>
    </row>
    <row r="4" spans="1:5" ht="16.5" thickBot="1" x14ac:dyDescent="0.3">
      <c r="A4" s="37" t="s">
        <v>96</v>
      </c>
      <c r="B4" s="38" t="s">
        <v>11</v>
      </c>
      <c r="C4" s="28"/>
      <c r="D4" s="28"/>
      <c r="E4" s="29"/>
    </row>
    <row r="5" spans="1:5" x14ac:dyDescent="0.25">
      <c r="A5" s="37" t="s">
        <v>93</v>
      </c>
      <c r="B5" s="38">
        <v>75</v>
      </c>
      <c r="C5" s="35"/>
      <c r="D5" s="42"/>
      <c r="E5" s="43"/>
    </row>
    <row r="6" spans="1:5" x14ac:dyDescent="0.25">
      <c r="A6" s="37" t="s">
        <v>94</v>
      </c>
      <c r="B6" s="38">
        <v>50</v>
      </c>
      <c r="C6" s="37"/>
      <c r="D6" s="34"/>
      <c r="E6" s="44"/>
    </row>
    <row r="7" spans="1:5" ht="16.5" thickBot="1" x14ac:dyDescent="0.3">
      <c r="A7" s="39" t="s">
        <v>95</v>
      </c>
      <c r="B7" s="40">
        <v>25</v>
      </c>
      <c r="C7" s="39"/>
      <c r="D7" s="45"/>
      <c r="E7" s="46"/>
    </row>
    <row r="8" spans="1:5" x14ac:dyDescent="0.25">
      <c r="A8" s="35" t="s">
        <v>88</v>
      </c>
      <c r="B8" s="36" t="s">
        <v>61</v>
      </c>
      <c r="C8" s="24"/>
      <c r="D8" s="24"/>
      <c r="E8" s="25"/>
    </row>
    <row r="9" spans="1:5" x14ac:dyDescent="0.25">
      <c r="A9" s="37" t="s">
        <v>91</v>
      </c>
      <c r="B9" s="38" t="s">
        <v>97</v>
      </c>
      <c r="C9" s="26"/>
      <c r="D9" s="26"/>
      <c r="E9" s="27"/>
    </row>
    <row r="10" spans="1:5" ht="16.5" thickBot="1" x14ac:dyDescent="0.3">
      <c r="A10" s="37" t="s">
        <v>96</v>
      </c>
      <c r="B10" s="41" t="s">
        <v>9</v>
      </c>
      <c r="C10" s="28"/>
      <c r="D10" s="28"/>
      <c r="E10" s="29"/>
    </row>
    <row r="11" spans="1:5" x14ac:dyDescent="0.25">
      <c r="A11" s="37" t="s">
        <v>93</v>
      </c>
      <c r="B11" s="38">
        <v>75</v>
      </c>
      <c r="C11" s="35"/>
      <c r="D11" s="42"/>
      <c r="E11" s="43"/>
    </row>
    <row r="12" spans="1:5" x14ac:dyDescent="0.25">
      <c r="A12" s="37" t="s">
        <v>94</v>
      </c>
      <c r="B12" s="38">
        <v>50</v>
      </c>
      <c r="C12" s="37"/>
      <c r="D12" s="34"/>
      <c r="E12" s="44"/>
    </row>
    <row r="13" spans="1:5" ht="16.5" thickBot="1" x14ac:dyDescent="0.3">
      <c r="A13" s="39" t="s">
        <v>95</v>
      </c>
      <c r="B13" s="40">
        <v>25</v>
      </c>
      <c r="C13" s="39"/>
      <c r="D13" s="45"/>
      <c r="E13" s="46"/>
    </row>
    <row r="14" spans="1:5" x14ac:dyDescent="0.25">
      <c r="A14" s="35" t="s">
        <v>88</v>
      </c>
      <c r="B14" s="36" t="s">
        <v>61</v>
      </c>
      <c r="C14" s="24"/>
      <c r="D14" s="24"/>
      <c r="E14" s="25"/>
    </row>
    <row r="15" spans="1:5" x14ac:dyDescent="0.25">
      <c r="A15" s="37" t="s">
        <v>91</v>
      </c>
      <c r="B15" s="38" t="s">
        <v>97</v>
      </c>
      <c r="C15" s="26"/>
      <c r="D15" s="26"/>
      <c r="E15" s="27"/>
    </row>
    <row r="16" spans="1:5" ht="16.5" thickBot="1" x14ac:dyDescent="0.3">
      <c r="A16" s="37" t="s">
        <v>96</v>
      </c>
      <c r="B16" s="41" t="s">
        <v>12</v>
      </c>
      <c r="C16" s="28"/>
      <c r="D16" s="28"/>
      <c r="E16" s="29"/>
    </row>
    <row r="17" spans="1:5" x14ac:dyDescent="0.25">
      <c r="A17" s="37" t="s">
        <v>93</v>
      </c>
      <c r="B17" s="38">
        <v>75</v>
      </c>
      <c r="C17" s="35"/>
      <c r="D17" s="42"/>
      <c r="E17" s="43"/>
    </row>
    <row r="18" spans="1:5" x14ac:dyDescent="0.25">
      <c r="A18" s="37" t="s">
        <v>94</v>
      </c>
      <c r="B18" s="38">
        <v>50</v>
      </c>
      <c r="C18" s="37"/>
      <c r="D18" s="34"/>
      <c r="E18" s="44"/>
    </row>
    <row r="19" spans="1:5" ht="16.5" thickBot="1" x14ac:dyDescent="0.3">
      <c r="A19" s="39" t="s">
        <v>95</v>
      </c>
      <c r="B19" s="40">
        <v>25</v>
      </c>
      <c r="C19" s="39"/>
      <c r="D19" s="45"/>
      <c r="E19" s="46"/>
    </row>
    <row r="20" spans="1:5" x14ac:dyDescent="0.25">
      <c r="A20" s="35" t="s">
        <v>88</v>
      </c>
      <c r="B20" s="36" t="s">
        <v>61</v>
      </c>
      <c r="C20" s="24"/>
      <c r="D20" s="24"/>
      <c r="E20" s="25"/>
    </row>
    <row r="21" spans="1:5" x14ac:dyDescent="0.25">
      <c r="A21" s="37" t="s">
        <v>91</v>
      </c>
      <c r="B21" s="38" t="s">
        <v>97</v>
      </c>
      <c r="C21" s="26"/>
      <c r="D21" s="26"/>
      <c r="E21" s="27"/>
    </row>
    <row r="22" spans="1:5" ht="16.5" thickBot="1" x14ac:dyDescent="0.3">
      <c r="A22" s="37" t="s">
        <v>96</v>
      </c>
      <c r="B22" s="41" t="s">
        <v>13</v>
      </c>
      <c r="C22" s="28"/>
      <c r="D22" s="28"/>
      <c r="E22" s="29"/>
    </row>
    <row r="23" spans="1:5" x14ac:dyDescent="0.25">
      <c r="A23" s="37" t="s">
        <v>93</v>
      </c>
      <c r="B23" s="38">
        <v>75</v>
      </c>
      <c r="C23" s="35"/>
      <c r="D23" s="42"/>
      <c r="E23" s="43"/>
    </row>
    <row r="24" spans="1:5" x14ac:dyDescent="0.25">
      <c r="A24" s="37" t="s">
        <v>94</v>
      </c>
      <c r="B24" s="38">
        <v>50</v>
      </c>
      <c r="C24" s="37"/>
      <c r="D24" s="34"/>
      <c r="E24" s="44"/>
    </row>
    <row r="25" spans="1:5" ht="16.5" thickBot="1" x14ac:dyDescent="0.3">
      <c r="A25" s="39" t="s">
        <v>95</v>
      </c>
      <c r="B25" s="40">
        <v>25</v>
      </c>
      <c r="C25" s="39"/>
      <c r="D25" s="45"/>
      <c r="E25" s="46"/>
    </row>
    <row r="26" spans="1:5" x14ac:dyDescent="0.25">
      <c r="A26" s="35" t="s">
        <v>88</v>
      </c>
      <c r="B26" s="36" t="s">
        <v>61</v>
      </c>
      <c r="C26" s="24"/>
      <c r="D26" s="24"/>
      <c r="E26" s="25"/>
    </row>
    <row r="27" spans="1:5" x14ac:dyDescent="0.25">
      <c r="A27" s="37" t="s">
        <v>91</v>
      </c>
      <c r="B27" s="38" t="s">
        <v>97</v>
      </c>
      <c r="C27" s="26"/>
      <c r="D27" s="26"/>
      <c r="E27" s="27"/>
    </row>
    <row r="28" spans="1:5" ht="16.5" thickBot="1" x14ac:dyDescent="0.3">
      <c r="A28" s="37" t="s">
        <v>96</v>
      </c>
      <c r="B28" s="41" t="s">
        <v>15</v>
      </c>
      <c r="C28" s="26"/>
      <c r="D28" s="26"/>
      <c r="E28" s="27"/>
    </row>
    <row r="29" spans="1:5" x14ac:dyDescent="0.25">
      <c r="A29" s="37" t="s">
        <v>93</v>
      </c>
      <c r="B29" s="38">
        <v>75</v>
      </c>
      <c r="C29" s="35"/>
      <c r="D29" s="42"/>
      <c r="E29" s="43"/>
    </row>
    <row r="30" spans="1:5" x14ac:dyDescent="0.25">
      <c r="A30" s="37" t="s">
        <v>94</v>
      </c>
      <c r="B30" s="38">
        <v>50</v>
      </c>
      <c r="C30" s="37"/>
      <c r="D30" s="34"/>
      <c r="E30" s="44"/>
    </row>
    <row r="31" spans="1:5" ht="16.5" thickBot="1" x14ac:dyDescent="0.3">
      <c r="A31" s="39" t="s">
        <v>95</v>
      </c>
      <c r="B31" s="40">
        <v>25</v>
      </c>
      <c r="C31" s="39"/>
      <c r="D31" s="45"/>
      <c r="E31" s="46"/>
    </row>
    <row r="32" spans="1:5" x14ac:dyDescent="0.25">
      <c r="A32" s="35" t="s">
        <v>88</v>
      </c>
      <c r="B32" s="36" t="s">
        <v>61</v>
      </c>
      <c r="C32" s="24"/>
      <c r="D32" s="24"/>
      <c r="E32" s="25"/>
    </row>
    <row r="33" spans="1:5" x14ac:dyDescent="0.25">
      <c r="A33" s="37" t="s">
        <v>91</v>
      </c>
      <c r="B33" s="38" t="s">
        <v>97</v>
      </c>
      <c r="C33" s="26"/>
      <c r="D33" s="26"/>
      <c r="E33" s="27"/>
    </row>
    <row r="34" spans="1:5" ht="16.5" thickBot="1" x14ac:dyDescent="0.3">
      <c r="A34" s="37" t="s">
        <v>96</v>
      </c>
      <c r="B34" s="41" t="s">
        <v>16</v>
      </c>
      <c r="C34" s="26"/>
      <c r="D34" s="26"/>
      <c r="E34" s="27"/>
    </row>
    <row r="35" spans="1:5" x14ac:dyDescent="0.25">
      <c r="A35" s="37" t="s">
        <v>93</v>
      </c>
      <c r="B35" s="38">
        <v>75</v>
      </c>
      <c r="C35" s="35"/>
      <c r="D35" s="42"/>
      <c r="E35" s="43"/>
    </row>
    <row r="36" spans="1:5" x14ac:dyDescent="0.25">
      <c r="A36" s="37" t="s">
        <v>94</v>
      </c>
      <c r="B36" s="38">
        <v>50</v>
      </c>
      <c r="C36" s="37"/>
      <c r="D36" s="34"/>
      <c r="E36" s="44"/>
    </row>
    <row r="37" spans="1:5" ht="16.5" thickBot="1" x14ac:dyDescent="0.3">
      <c r="A37" s="39" t="s">
        <v>95</v>
      </c>
      <c r="B37" s="40">
        <v>25</v>
      </c>
      <c r="C37" s="39"/>
      <c r="D37" s="45"/>
      <c r="E37" s="4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B26" sqref="B26"/>
    </sheetView>
  </sheetViews>
  <sheetFormatPr defaultColWidth="8.875" defaultRowHeight="15.75" x14ac:dyDescent="0.25"/>
  <cols>
    <col min="1" max="1" width="30.875" bestFit="1" customWidth="1"/>
    <col min="2" max="2" width="15.625" bestFit="1" customWidth="1"/>
  </cols>
  <sheetData>
    <row r="1" spans="1:5" ht="21.75" thickBot="1" x14ac:dyDescent="0.4">
      <c r="A1" s="32" t="s">
        <v>90</v>
      </c>
      <c r="B1" s="33" t="s">
        <v>60</v>
      </c>
      <c r="C1" s="23" t="s">
        <v>102</v>
      </c>
      <c r="D1" s="30" t="s">
        <v>103</v>
      </c>
      <c r="E1" s="31" t="s">
        <v>104</v>
      </c>
    </row>
    <row r="2" spans="1:5" x14ac:dyDescent="0.25">
      <c r="A2" s="35" t="s">
        <v>88</v>
      </c>
      <c r="B2" s="36" t="s">
        <v>56</v>
      </c>
      <c r="C2" s="24"/>
      <c r="D2" s="24"/>
      <c r="E2" s="25"/>
    </row>
    <row r="3" spans="1:5" x14ac:dyDescent="0.25">
      <c r="A3" s="37" t="s">
        <v>91</v>
      </c>
      <c r="B3" s="38" t="s">
        <v>97</v>
      </c>
      <c r="C3" s="26"/>
      <c r="D3" s="26"/>
      <c r="E3" s="27"/>
    </row>
    <row r="4" spans="1:5" ht="16.5" thickBot="1" x14ac:dyDescent="0.3">
      <c r="A4" s="37" t="s">
        <v>96</v>
      </c>
      <c r="B4" s="38" t="s">
        <v>98</v>
      </c>
      <c r="C4" s="28"/>
      <c r="D4" s="28"/>
      <c r="E4" s="29"/>
    </row>
    <row r="5" spans="1:5" x14ac:dyDescent="0.25">
      <c r="A5" s="37" t="s">
        <v>93</v>
      </c>
      <c r="B5" s="38">
        <v>75</v>
      </c>
      <c r="C5" s="35"/>
      <c r="D5" s="42"/>
      <c r="E5" s="43"/>
    </row>
    <row r="6" spans="1:5" x14ac:dyDescent="0.25">
      <c r="A6" s="37" t="s">
        <v>94</v>
      </c>
      <c r="B6" s="38">
        <v>20</v>
      </c>
      <c r="C6" s="37"/>
      <c r="D6" s="34"/>
      <c r="E6" s="44"/>
    </row>
    <row r="7" spans="1:5" ht="16.5" thickBot="1" x14ac:dyDescent="0.3">
      <c r="A7" s="39" t="s">
        <v>95</v>
      </c>
      <c r="B7" s="40">
        <v>55</v>
      </c>
      <c r="C7" s="39"/>
      <c r="D7" s="45"/>
      <c r="E7" s="46"/>
    </row>
    <row r="8" spans="1:5" x14ac:dyDescent="0.25">
      <c r="A8" s="35" t="s">
        <v>88</v>
      </c>
      <c r="B8" s="36" t="s">
        <v>56</v>
      </c>
      <c r="C8" s="24"/>
      <c r="D8" s="24"/>
      <c r="E8" s="25"/>
    </row>
    <row r="9" spans="1:5" x14ac:dyDescent="0.25">
      <c r="A9" s="37" t="s">
        <v>91</v>
      </c>
      <c r="B9" s="38" t="s">
        <v>97</v>
      </c>
      <c r="C9" s="26"/>
      <c r="D9" s="26"/>
      <c r="E9" s="27"/>
    </row>
    <row r="10" spans="1:5" ht="16.5" thickBot="1" x14ac:dyDescent="0.3">
      <c r="A10" s="37" t="s">
        <v>96</v>
      </c>
      <c r="B10" s="41" t="s">
        <v>24</v>
      </c>
      <c r="C10" s="28"/>
      <c r="D10" s="28"/>
      <c r="E10" s="29"/>
    </row>
    <row r="11" spans="1:5" x14ac:dyDescent="0.25">
      <c r="A11" s="37" t="s">
        <v>93</v>
      </c>
      <c r="B11" s="38">
        <v>75</v>
      </c>
      <c r="C11" s="35"/>
      <c r="D11" s="42"/>
      <c r="E11" s="43"/>
    </row>
    <row r="12" spans="1:5" x14ac:dyDescent="0.25">
      <c r="A12" s="37" t="s">
        <v>94</v>
      </c>
      <c r="B12" s="38">
        <v>20</v>
      </c>
      <c r="C12" s="37"/>
      <c r="D12" s="34"/>
      <c r="E12" s="44"/>
    </row>
    <row r="13" spans="1:5" ht="16.5" thickBot="1" x14ac:dyDescent="0.3">
      <c r="A13" s="39" t="s">
        <v>95</v>
      </c>
      <c r="B13" s="40">
        <v>55</v>
      </c>
      <c r="C13" s="39"/>
      <c r="D13" s="45"/>
      <c r="E13" s="4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B10" sqref="B10"/>
    </sheetView>
  </sheetViews>
  <sheetFormatPr defaultColWidth="8.875" defaultRowHeight="15.75" x14ac:dyDescent="0.25"/>
  <cols>
    <col min="1" max="1" width="31" bestFit="1" customWidth="1"/>
    <col min="2" max="2" width="16" bestFit="1" customWidth="1"/>
  </cols>
  <sheetData>
    <row r="1" spans="1:5" ht="21.75" thickBot="1" x14ac:dyDescent="0.4">
      <c r="A1" s="32" t="s">
        <v>90</v>
      </c>
      <c r="B1" s="33" t="s">
        <v>71</v>
      </c>
      <c r="C1" s="23" t="s">
        <v>102</v>
      </c>
      <c r="D1" s="30" t="s">
        <v>103</v>
      </c>
      <c r="E1" s="31" t="s">
        <v>104</v>
      </c>
    </row>
    <row r="2" spans="1:5" x14ac:dyDescent="0.25">
      <c r="A2" s="35" t="s">
        <v>88</v>
      </c>
      <c r="B2" s="36" t="s">
        <v>105</v>
      </c>
      <c r="C2" s="24"/>
      <c r="D2" s="24"/>
      <c r="E2" s="25"/>
    </row>
    <row r="3" spans="1:5" x14ac:dyDescent="0.25">
      <c r="A3" s="37" t="s">
        <v>91</v>
      </c>
      <c r="B3" s="38" t="s">
        <v>106</v>
      </c>
      <c r="C3" s="26"/>
      <c r="D3" s="26"/>
      <c r="E3" s="27"/>
    </row>
    <row r="4" spans="1:5" ht="16.5" thickBot="1" x14ac:dyDescent="0.3">
      <c r="A4" s="37" t="s">
        <v>96</v>
      </c>
      <c r="B4" s="38" t="s">
        <v>19</v>
      </c>
      <c r="C4" s="28"/>
      <c r="D4" s="28"/>
      <c r="E4" s="29"/>
    </row>
    <row r="5" spans="1:5" x14ac:dyDescent="0.25">
      <c r="A5" s="37" t="s">
        <v>93</v>
      </c>
      <c r="B5" s="38">
        <v>75</v>
      </c>
      <c r="C5" s="35"/>
      <c r="D5" s="42"/>
      <c r="E5" s="43"/>
    </row>
    <row r="6" spans="1:5" x14ac:dyDescent="0.25">
      <c r="A6" s="37" t="s">
        <v>94</v>
      </c>
      <c r="B6" s="38">
        <v>20</v>
      </c>
      <c r="C6" s="37"/>
      <c r="D6" s="34"/>
      <c r="E6" s="44"/>
    </row>
    <row r="7" spans="1:5" ht="16.5" thickBot="1" x14ac:dyDescent="0.3">
      <c r="A7" s="39" t="s">
        <v>95</v>
      </c>
      <c r="B7" s="40">
        <v>55</v>
      </c>
      <c r="C7" s="39"/>
      <c r="D7" s="45"/>
      <c r="E7" s="46"/>
    </row>
    <row r="8" spans="1:5" x14ac:dyDescent="0.25">
      <c r="A8" s="35" t="s">
        <v>88</v>
      </c>
      <c r="B8" s="36" t="s">
        <v>105</v>
      </c>
      <c r="C8" s="24"/>
      <c r="D8" s="24"/>
      <c r="E8" s="25"/>
    </row>
    <row r="9" spans="1:5" x14ac:dyDescent="0.25">
      <c r="A9" s="37" t="s">
        <v>91</v>
      </c>
      <c r="B9" s="38" t="s">
        <v>106</v>
      </c>
      <c r="C9" s="26"/>
      <c r="D9" s="26"/>
      <c r="E9" s="27"/>
    </row>
    <row r="10" spans="1:5" ht="16.5" thickBot="1" x14ac:dyDescent="0.3">
      <c r="A10" s="37" t="s">
        <v>96</v>
      </c>
      <c r="B10" s="41" t="s">
        <v>20</v>
      </c>
      <c r="C10" s="28"/>
      <c r="D10" s="28"/>
      <c r="E10" s="29"/>
    </row>
    <row r="11" spans="1:5" x14ac:dyDescent="0.25">
      <c r="A11" s="37" t="s">
        <v>93</v>
      </c>
      <c r="B11" s="38">
        <v>75</v>
      </c>
      <c r="C11" s="35"/>
      <c r="D11" s="42"/>
      <c r="E11" s="43"/>
    </row>
    <row r="12" spans="1:5" x14ac:dyDescent="0.25">
      <c r="A12" s="37" t="s">
        <v>94</v>
      </c>
      <c r="B12" s="38">
        <v>20</v>
      </c>
      <c r="C12" s="37"/>
      <c r="D12" s="34"/>
      <c r="E12" s="44"/>
    </row>
    <row r="13" spans="1:5" ht="16.5" thickBot="1" x14ac:dyDescent="0.3">
      <c r="A13" s="39" t="s">
        <v>95</v>
      </c>
      <c r="B13" s="40">
        <v>55</v>
      </c>
      <c r="C13" s="39"/>
      <c r="D13" s="45"/>
      <c r="E13" s="4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"/>
  <sheetViews>
    <sheetView workbookViewId="0">
      <selection sqref="A1:E7"/>
    </sheetView>
  </sheetViews>
  <sheetFormatPr defaultColWidth="8.875" defaultRowHeight="15.75" x14ac:dyDescent="0.25"/>
  <cols>
    <col min="1" max="1" width="31" bestFit="1" customWidth="1"/>
    <col min="2" max="2" width="32" bestFit="1" customWidth="1"/>
  </cols>
  <sheetData>
    <row r="1" spans="1:5" ht="21.75" thickBot="1" x14ac:dyDescent="0.4">
      <c r="A1" s="32" t="s">
        <v>90</v>
      </c>
      <c r="B1" s="33" t="s">
        <v>75</v>
      </c>
      <c r="C1" s="23" t="s">
        <v>102</v>
      </c>
      <c r="D1" s="30" t="s">
        <v>103</v>
      </c>
      <c r="E1" s="31" t="s">
        <v>104</v>
      </c>
    </row>
    <row r="2" spans="1:5" x14ac:dyDescent="0.25">
      <c r="A2" s="35" t="s">
        <v>88</v>
      </c>
      <c r="B2" s="36" t="s">
        <v>46</v>
      </c>
      <c r="C2" s="24"/>
      <c r="D2" s="24"/>
      <c r="E2" s="25"/>
    </row>
    <row r="3" spans="1:5" x14ac:dyDescent="0.25">
      <c r="A3" s="37" t="s">
        <v>91</v>
      </c>
      <c r="B3" s="38"/>
      <c r="C3" s="26"/>
      <c r="D3" s="26"/>
      <c r="E3" s="27"/>
    </row>
    <row r="4" spans="1:5" ht="16.5" thickBot="1" x14ac:dyDescent="0.3">
      <c r="A4" s="37" t="s">
        <v>96</v>
      </c>
      <c r="B4" s="38" t="s">
        <v>9</v>
      </c>
      <c r="C4" s="28"/>
      <c r="D4" s="28"/>
      <c r="E4" s="29"/>
    </row>
    <row r="5" spans="1:5" x14ac:dyDescent="0.25">
      <c r="A5" s="37" t="s">
        <v>93</v>
      </c>
      <c r="B5" s="38">
        <v>75</v>
      </c>
      <c r="C5" s="35"/>
      <c r="D5" s="42"/>
      <c r="E5" s="43"/>
    </row>
    <row r="6" spans="1:5" x14ac:dyDescent="0.25">
      <c r="A6" s="37" t="s">
        <v>94</v>
      </c>
      <c r="B6" s="38">
        <v>20</v>
      </c>
      <c r="C6" s="37"/>
      <c r="D6" s="34"/>
      <c r="E6" s="44"/>
    </row>
    <row r="7" spans="1:5" ht="16.5" thickBot="1" x14ac:dyDescent="0.3">
      <c r="A7" s="39" t="s">
        <v>95</v>
      </c>
      <c r="B7" s="40">
        <v>55</v>
      </c>
      <c r="C7" s="39"/>
      <c r="D7" s="45"/>
      <c r="E7" s="4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sqref="A1:E13"/>
    </sheetView>
  </sheetViews>
  <sheetFormatPr defaultColWidth="8.875" defaultRowHeight="15.75" x14ac:dyDescent="0.25"/>
  <cols>
    <col min="1" max="1" width="30.875" bestFit="1" customWidth="1"/>
    <col min="2" max="2" width="31.875" bestFit="1" customWidth="1"/>
  </cols>
  <sheetData>
    <row r="1" spans="1:5" ht="21.75" thickBot="1" x14ac:dyDescent="0.4">
      <c r="A1" s="32" t="s">
        <v>90</v>
      </c>
      <c r="B1" s="33" t="s">
        <v>78</v>
      </c>
      <c r="C1" s="23" t="s">
        <v>102</v>
      </c>
      <c r="D1" s="30" t="s">
        <v>103</v>
      </c>
      <c r="E1" s="31" t="s">
        <v>104</v>
      </c>
    </row>
    <row r="2" spans="1:5" x14ac:dyDescent="0.25">
      <c r="A2" s="35" t="s">
        <v>88</v>
      </c>
      <c r="B2" s="36" t="s">
        <v>57</v>
      </c>
      <c r="C2" s="24"/>
      <c r="D2" s="24"/>
      <c r="E2" s="25"/>
    </row>
    <row r="3" spans="1:5" x14ac:dyDescent="0.25">
      <c r="A3" s="37" t="s">
        <v>91</v>
      </c>
      <c r="B3" s="38"/>
      <c r="C3" s="26"/>
      <c r="D3" s="26"/>
      <c r="E3" s="27"/>
    </row>
    <row r="4" spans="1:5" ht="16.5" thickBot="1" x14ac:dyDescent="0.3">
      <c r="A4" s="37" t="s">
        <v>96</v>
      </c>
      <c r="B4" s="38" t="s">
        <v>24</v>
      </c>
      <c r="C4" s="28"/>
      <c r="D4" s="28"/>
      <c r="E4" s="29"/>
    </row>
    <row r="5" spans="1:5" x14ac:dyDescent="0.25">
      <c r="A5" s="37" t="s">
        <v>93</v>
      </c>
      <c r="B5" s="38">
        <v>75</v>
      </c>
      <c r="C5" s="35"/>
      <c r="D5" s="42"/>
      <c r="E5" s="43"/>
    </row>
    <row r="6" spans="1:5" x14ac:dyDescent="0.25">
      <c r="A6" s="37" t="s">
        <v>94</v>
      </c>
      <c r="B6" s="38">
        <v>20</v>
      </c>
      <c r="C6" s="37"/>
      <c r="D6" s="34"/>
      <c r="E6" s="44"/>
    </row>
    <row r="7" spans="1:5" ht="16.5" thickBot="1" x14ac:dyDescent="0.3">
      <c r="A7" s="39" t="s">
        <v>95</v>
      </c>
      <c r="B7" s="40">
        <v>55</v>
      </c>
      <c r="C7" s="39"/>
      <c r="D7" s="45"/>
      <c r="E7" s="46"/>
    </row>
    <row r="8" spans="1:5" x14ac:dyDescent="0.25">
      <c r="A8" s="35" t="s">
        <v>88</v>
      </c>
      <c r="B8" s="36" t="s">
        <v>57</v>
      </c>
      <c r="C8" s="24"/>
      <c r="D8" s="24"/>
      <c r="E8" s="25"/>
    </row>
    <row r="9" spans="1:5" x14ac:dyDescent="0.25">
      <c r="A9" s="37" t="s">
        <v>91</v>
      </c>
      <c r="B9" s="38"/>
      <c r="C9" s="26"/>
      <c r="D9" s="26"/>
      <c r="E9" s="27"/>
    </row>
    <row r="10" spans="1:5" ht="16.5" thickBot="1" x14ac:dyDescent="0.3">
      <c r="A10" s="37" t="s">
        <v>96</v>
      </c>
      <c r="B10" s="38" t="s">
        <v>25</v>
      </c>
      <c r="C10" s="28"/>
      <c r="D10" s="28"/>
      <c r="E10" s="29"/>
    </row>
    <row r="11" spans="1:5" x14ac:dyDescent="0.25">
      <c r="A11" s="37" t="s">
        <v>93</v>
      </c>
      <c r="B11" s="38">
        <v>75</v>
      </c>
      <c r="C11" s="35"/>
      <c r="D11" s="42"/>
      <c r="E11" s="43"/>
    </row>
    <row r="12" spans="1:5" x14ac:dyDescent="0.25">
      <c r="A12" s="37" t="s">
        <v>94</v>
      </c>
      <c r="B12" s="38">
        <v>20</v>
      </c>
      <c r="C12" s="37"/>
      <c r="D12" s="34"/>
      <c r="E12" s="44"/>
    </row>
    <row r="13" spans="1:5" ht="16.5" thickBot="1" x14ac:dyDescent="0.3">
      <c r="A13" s="39" t="s">
        <v>95</v>
      </c>
      <c r="B13" s="40">
        <v>55</v>
      </c>
      <c r="C13" s="39"/>
      <c r="D13" s="45"/>
      <c r="E13" s="4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99"/>
  <sheetViews>
    <sheetView topLeftCell="A106" workbookViewId="0">
      <selection activeCell="B126" sqref="B126"/>
    </sheetView>
  </sheetViews>
  <sheetFormatPr defaultColWidth="8.875" defaultRowHeight="15.75" x14ac:dyDescent="0.25"/>
  <cols>
    <col min="1" max="1" width="30.875" bestFit="1" customWidth="1"/>
    <col min="2" max="2" width="31.125" bestFit="1" customWidth="1"/>
  </cols>
  <sheetData>
    <row r="1" spans="1:5" ht="21.75" thickBot="1" x14ac:dyDescent="0.4">
      <c r="A1" s="32" t="s">
        <v>90</v>
      </c>
      <c r="B1" s="33" t="s">
        <v>116</v>
      </c>
      <c r="C1" s="23" t="s">
        <v>102</v>
      </c>
      <c r="D1" s="30" t="s">
        <v>103</v>
      </c>
      <c r="E1" s="31" t="s">
        <v>104</v>
      </c>
    </row>
    <row r="2" spans="1:5" x14ac:dyDescent="0.25">
      <c r="A2" s="35" t="s">
        <v>88</v>
      </c>
      <c r="B2" s="36" t="s">
        <v>77</v>
      </c>
      <c r="C2" s="24"/>
      <c r="D2" s="24"/>
      <c r="E2" s="25"/>
    </row>
    <row r="3" spans="1:5" x14ac:dyDescent="0.25">
      <c r="A3" s="37" t="s">
        <v>91</v>
      </c>
      <c r="B3" s="38"/>
      <c r="C3" s="26"/>
      <c r="D3" s="26"/>
      <c r="E3" s="27"/>
    </row>
    <row r="4" spans="1:5" ht="16.5" thickBot="1" x14ac:dyDescent="0.3">
      <c r="A4" s="37" t="s">
        <v>96</v>
      </c>
      <c r="B4" s="38" t="s">
        <v>22</v>
      </c>
      <c r="C4" s="28"/>
      <c r="D4" s="28"/>
      <c r="E4" s="29"/>
    </row>
    <row r="5" spans="1:5" x14ac:dyDescent="0.25">
      <c r="A5" s="37" t="s">
        <v>93</v>
      </c>
      <c r="B5" s="38">
        <v>75</v>
      </c>
      <c r="C5" s="35"/>
      <c r="D5" s="42"/>
      <c r="E5" s="43"/>
    </row>
    <row r="6" spans="1:5" x14ac:dyDescent="0.25">
      <c r="A6" s="37" t="s">
        <v>94</v>
      </c>
      <c r="B6" s="38">
        <v>20</v>
      </c>
      <c r="C6" s="37"/>
      <c r="D6" s="34"/>
      <c r="E6" s="44"/>
    </row>
    <row r="7" spans="1:5" ht="16.5" thickBot="1" x14ac:dyDescent="0.3">
      <c r="A7" s="39" t="s">
        <v>95</v>
      </c>
      <c r="B7" s="40">
        <v>55</v>
      </c>
      <c r="C7" s="39"/>
      <c r="D7" s="45"/>
      <c r="E7" s="46"/>
    </row>
    <row r="8" spans="1:5" x14ac:dyDescent="0.25">
      <c r="A8" s="35" t="s">
        <v>88</v>
      </c>
      <c r="B8" s="36" t="s">
        <v>77</v>
      </c>
      <c r="C8" s="24"/>
      <c r="D8" s="24"/>
      <c r="E8" s="25"/>
    </row>
    <row r="9" spans="1:5" x14ac:dyDescent="0.25">
      <c r="A9" s="37" t="s">
        <v>91</v>
      </c>
      <c r="B9" s="38"/>
      <c r="C9" s="26"/>
      <c r="D9" s="26"/>
      <c r="E9" s="27"/>
    </row>
    <row r="10" spans="1:5" ht="16.5" thickBot="1" x14ac:dyDescent="0.3">
      <c r="A10" s="37" t="s">
        <v>96</v>
      </c>
      <c r="B10" s="38" t="s">
        <v>24</v>
      </c>
      <c r="C10" s="28"/>
      <c r="D10" s="28"/>
      <c r="E10" s="29"/>
    </row>
    <row r="11" spans="1:5" x14ac:dyDescent="0.25">
      <c r="A11" s="37" t="s">
        <v>93</v>
      </c>
      <c r="B11" s="38">
        <v>75</v>
      </c>
      <c r="C11" s="35"/>
      <c r="D11" s="42"/>
      <c r="E11" s="43"/>
    </row>
    <row r="12" spans="1:5" x14ac:dyDescent="0.25">
      <c r="A12" s="37" t="s">
        <v>94</v>
      </c>
      <c r="B12" s="38">
        <v>20</v>
      </c>
      <c r="C12" s="37"/>
      <c r="D12" s="34"/>
      <c r="E12" s="44"/>
    </row>
    <row r="13" spans="1:5" ht="16.5" thickBot="1" x14ac:dyDescent="0.3">
      <c r="A13" s="39" t="s">
        <v>95</v>
      </c>
      <c r="B13" s="40">
        <v>55</v>
      </c>
      <c r="C13" s="39"/>
      <c r="D13" s="45"/>
      <c r="E13" s="46"/>
    </row>
    <row r="14" spans="1:5" x14ac:dyDescent="0.25">
      <c r="A14" s="35" t="s">
        <v>88</v>
      </c>
      <c r="B14" s="36" t="s">
        <v>77</v>
      </c>
      <c r="C14" s="24"/>
      <c r="D14" s="24"/>
      <c r="E14" s="25"/>
    </row>
    <row r="15" spans="1:5" x14ac:dyDescent="0.25">
      <c r="A15" s="37" t="s">
        <v>91</v>
      </c>
      <c r="B15" s="38"/>
      <c r="C15" s="26"/>
      <c r="D15" s="26"/>
      <c r="E15" s="27"/>
    </row>
    <row r="16" spans="1:5" ht="16.5" thickBot="1" x14ac:dyDescent="0.3">
      <c r="A16" s="37" t="s">
        <v>96</v>
      </c>
      <c r="B16" s="38" t="s">
        <v>25</v>
      </c>
      <c r="C16" s="28"/>
      <c r="D16" s="28"/>
      <c r="E16" s="29"/>
    </row>
    <row r="17" spans="1:5" x14ac:dyDescent="0.25">
      <c r="A17" s="37" t="s">
        <v>93</v>
      </c>
      <c r="B17" s="38">
        <v>75</v>
      </c>
      <c r="C17" s="35"/>
      <c r="D17" s="42"/>
      <c r="E17" s="43"/>
    </row>
    <row r="18" spans="1:5" x14ac:dyDescent="0.25">
      <c r="A18" s="37" t="s">
        <v>94</v>
      </c>
      <c r="B18" s="38">
        <v>20</v>
      </c>
      <c r="C18" s="37"/>
      <c r="D18" s="34"/>
      <c r="E18" s="44"/>
    </row>
    <row r="19" spans="1:5" ht="16.5" thickBot="1" x14ac:dyDescent="0.3">
      <c r="A19" s="39" t="s">
        <v>95</v>
      </c>
      <c r="B19" s="40">
        <v>55</v>
      </c>
      <c r="C19" s="39"/>
      <c r="D19" s="45"/>
      <c r="E19" s="46"/>
    </row>
    <row r="20" spans="1:5" x14ac:dyDescent="0.25">
      <c r="A20" s="35" t="s">
        <v>88</v>
      </c>
      <c r="B20" s="36" t="s">
        <v>68</v>
      </c>
      <c r="C20" s="24"/>
      <c r="D20" s="24"/>
      <c r="E20" s="25"/>
    </row>
    <row r="21" spans="1:5" x14ac:dyDescent="0.25">
      <c r="A21" s="37" t="s">
        <v>91</v>
      </c>
      <c r="B21" s="38" t="s">
        <v>85</v>
      </c>
      <c r="C21" s="26"/>
      <c r="D21" s="26"/>
      <c r="E21" s="27"/>
    </row>
    <row r="22" spans="1:5" ht="16.5" thickBot="1" x14ac:dyDescent="0.3">
      <c r="A22" s="37" t="s">
        <v>96</v>
      </c>
      <c r="B22" s="38" t="s">
        <v>9</v>
      </c>
      <c r="C22" s="28"/>
      <c r="D22" s="28"/>
      <c r="E22" s="29"/>
    </row>
    <row r="23" spans="1:5" x14ac:dyDescent="0.25">
      <c r="A23" s="37" t="s">
        <v>93</v>
      </c>
      <c r="B23" s="38">
        <v>75</v>
      </c>
      <c r="C23" s="35"/>
      <c r="D23" s="42"/>
      <c r="E23" s="43"/>
    </row>
    <row r="24" spans="1:5" x14ac:dyDescent="0.25">
      <c r="A24" s="37" t="s">
        <v>94</v>
      </c>
      <c r="B24" s="38">
        <v>20</v>
      </c>
      <c r="C24" s="37"/>
      <c r="D24" s="34"/>
      <c r="E24" s="44"/>
    </row>
    <row r="25" spans="1:5" ht="16.5" thickBot="1" x14ac:dyDescent="0.3">
      <c r="A25" s="39" t="s">
        <v>95</v>
      </c>
      <c r="B25" s="40">
        <v>55</v>
      </c>
      <c r="C25" s="39"/>
      <c r="D25" s="45"/>
      <c r="E25" s="46"/>
    </row>
    <row r="26" spans="1:5" x14ac:dyDescent="0.25">
      <c r="A26" s="35" t="s">
        <v>88</v>
      </c>
      <c r="B26" s="36" t="s">
        <v>59</v>
      </c>
      <c r="C26" s="24"/>
      <c r="D26" s="24"/>
      <c r="E26" s="25"/>
    </row>
    <row r="27" spans="1:5" x14ac:dyDescent="0.25">
      <c r="A27" s="37" t="s">
        <v>91</v>
      </c>
      <c r="B27" s="38" t="s">
        <v>119</v>
      </c>
      <c r="C27" s="26"/>
      <c r="D27" s="26"/>
      <c r="E27" s="27"/>
    </row>
    <row r="28" spans="1:5" ht="16.5" thickBot="1" x14ac:dyDescent="0.3">
      <c r="A28" s="37" t="s">
        <v>96</v>
      </c>
      <c r="B28" s="38" t="s">
        <v>11</v>
      </c>
      <c r="C28" s="28"/>
      <c r="D28" s="28"/>
      <c r="E28" s="29"/>
    </row>
    <row r="29" spans="1:5" x14ac:dyDescent="0.25">
      <c r="A29" s="37" t="s">
        <v>93</v>
      </c>
      <c r="B29" s="38">
        <v>75</v>
      </c>
      <c r="C29" s="35"/>
      <c r="D29" s="42"/>
      <c r="E29" s="43"/>
    </row>
    <row r="30" spans="1:5" x14ac:dyDescent="0.25">
      <c r="A30" s="37" t="s">
        <v>94</v>
      </c>
      <c r="B30" s="38">
        <v>20</v>
      </c>
      <c r="C30" s="37"/>
      <c r="D30" s="34"/>
      <c r="E30" s="44"/>
    </row>
    <row r="31" spans="1:5" ht="16.5" thickBot="1" x14ac:dyDescent="0.3">
      <c r="A31" s="39" t="s">
        <v>95</v>
      </c>
      <c r="B31" s="40">
        <v>55</v>
      </c>
      <c r="C31" s="39"/>
      <c r="D31" s="45"/>
      <c r="E31" s="46"/>
    </row>
    <row r="32" spans="1:5" x14ac:dyDescent="0.25">
      <c r="A32" s="35" t="s">
        <v>88</v>
      </c>
      <c r="B32" s="36" t="s">
        <v>59</v>
      </c>
      <c r="C32" s="24"/>
      <c r="D32" s="24"/>
      <c r="E32" s="25"/>
    </row>
    <row r="33" spans="1:5" x14ac:dyDescent="0.25">
      <c r="A33" s="37" t="s">
        <v>91</v>
      </c>
      <c r="B33" s="38" t="s">
        <v>119</v>
      </c>
      <c r="C33" s="26"/>
      <c r="D33" s="26"/>
      <c r="E33" s="27"/>
    </row>
    <row r="34" spans="1:5" ht="16.5" thickBot="1" x14ac:dyDescent="0.3">
      <c r="A34" s="37" t="s">
        <v>96</v>
      </c>
      <c r="B34" s="38" t="s">
        <v>15</v>
      </c>
      <c r="C34" s="28"/>
      <c r="D34" s="28"/>
      <c r="E34" s="29"/>
    </row>
    <row r="35" spans="1:5" x14ac:dyDescent="0.25">
      <c r="A35" s="37" t="s">
        <v>93</v>
      </c>
      <c r="B35" s="38">
        <v>75</v>
      </c>
      <c r="C35" s="35"/>
      <c r="D35" s="42"/>
      <c r="E35" s="43"/>
    </row>
    <row r="36" spans="1:5" x14ac:dyDescent="0.25">
      <c r="A36" s="37" t="s">
        <v>94</v>
      </c>
      <c r="B36" s="38">
        <v>20</v>
      </c>
      <c r="C36" s="37"/>
      <c r="D36" s="34"/>
      <c r="E36" s="44"/>
    </row>
    <row r="37" spans="1:5" ht="16.5" thickBot="1" x14ac:dyDescent="0.3">
      <c r="A37" s="39" t="s">
        <v>95</v>
      </c>
      <c r="B37" s="40">
        <v>55</v>
      </c>
      <c r="C37" s="39"/>
      <c r="D37" s="45"/>
      <c r="E37" s="46"/>
    </row>
    <row r="38" spans="1:5" x14ac:dyDescent="0.25">
      <c r="A38" s="35" t="s">
        <v>88</v>
      </c>
      <c r="B38" s="36" t="s">
        <v>59</v>
      </c>
      <c r="C38" s="24"/>
      <c r="D38" s="24"/>
      <c r="E38" s="25"/>
    </row>
    <row r="39" spans="1:5" x14ac:dyDescent="0.25">
      <c r="A39" s="37" t="s">
        <v>91</v>
      </c>
      <c r="B39" s="38" t="s">
        <v>119</v>
      </c>
      <c r="C39" s="26"/>
      <c r="D39" s="26"/>
      <c r="E39" s="27"/>
    </row>
    <row r="40" spans="1:5" ht="16.5" thickBot="1" x14ac:dyDescent="0.3">
      <c r="A40" s="37" t="s">
        <v>96</v>
      </c>
      <c r="B40" s="38" t="s">
        <v>16</v>
      </c>
      <c r="C40" s="28"/>
      <c r="D40" s="28"/>
      <c r="E40" s="29"/>
    </row>
    <row r="41" spans="1:5" x14ac:dyDescent="0.25">
      <c r="A41" s="37" t="s">
        <v>93</v>
      </c>
      <c r="B41" s="38">
        <v>75</v>
      </c>
      <c r="C41" s="35"/>
      <c r="D41" s="42"/>
      <c r="E41" s="43"/>
    </row>
    <row r="42" spans="1:5" x14ac:dyDescent="0.25">
      <c r="A42" s="37" t="s">
        <v>94</v>
      </c>
      <c r="B42" s="38">
        <v>20</v>
      </c>
      <c r="C42" s="37"/>
      <c r="D42" s="34"/>
      <c r="E42" s="44"/>
    </row>
    <row r="43" spans="1:5" ht="16.5" thickBot="1" x14ac:dyDescent="0.3">
      <c r="A43" s="39" t="s">
        <v>95</v>
      </c>
      <c r="B43" s="40">
        <v>55</v>
      </c>
      <c r="C43" s="39"/>
      <c r="D43" s="45"/>
      <c r="E43" s="46"/>
    </row>
    <row r="44" spans="1:5" x14ac:dyDescent="0.25">
      <c r="A44" s="35" t="s">
        <v>88</v>
      </c>
      <c r="B44" s="36" t="s">
        <v>42</v>
      </c>
      <c r="C44" s="24"/>
      <c r="D44" s="24"/>
      <c r="E44" s="25"/>
    </row>
    <row r="45" spans="1:5" x14ac:dyDescent="0.25">
      <c r="A45" s="37" t="s">
        <v>91</v>
      </c>
      <c r="B45" s="38" t="s">
        <v>86</v>
      </c>
      <c r="C45" s="26"/>
      <c r="D45" s="26"/>
      <c r="E45" s="27"/>
    </row>
    <row r="46" spans="1:5" ht="16.5" thickBot="1" x14ac:dyDescent="0.3">
      <c r="A46" s="37" t="s">
        <v>96</v>
      </c>
      <c r="B46" s="38" t="s">
        <v>1</v>
      </c>
      <c r="C46" s="28"/>
      <c r="D46" s="28"/>
      <c r="E46" s="29"/>
    </row>
    <row r="47" spans="1:5" x14ac:dyDescent="0.25">
      <c r="A47" s="37" t="s">
        <v>93</v>
      </c>
      <c r="B47" s="38">
        <v>75</v>
      </c>
      <c r="C47" s="35"/>
      <c r="D47" s="42"/>
      <c r="E47" s="43"/>
    </row>
    <row r="48" spans="1:5" x14ac:dyDescent="0.25">
      <c r="A48" s="37" t="s">
        <v>94</v>
      </c>
      <c r="B48" s="38">
        <v>20</v>
      </c>
      <c r="C48" s="37"/>
      <c r="D48" s="34"/>
      <c r="E48" s="44"/>
    </row>
    <row r="49" spans="1:5" ht="16.5" thickBot="1" x14ac:dyDescent="0.3">
      <c r="A49" s="39" t="s">
        <v>95</v>
      </c>
      <c r="B49" s="40">
        <v>55</v>
      </c>
      <c r="C49" s="39"/>
      <c r="D49" s="45"/>
      <c r="E49" s="46"/>
    </row>
    <row r="50" spans="1:5" x14ac:dyDescent="0.25">
      <c r="A50" s="35" t="s">
        <v>88</v>
      </c>
      <c r="B50" s="36" t="s">
        <v>42</v>
      </c>
      <c r="C50" s="24"/>
      <c r="D50" s="24"/>
      <c r="E50" s="25"/>
    </row>
    <row r="51" spans="1:5" x14ac:dyDescent="0.25">
      <c r="A51" s="37" t="s">
        <v>91</v>
      </c>
      <c r="B51" s="38" t="s">
        <v>86</v>
      </c>
      <c r="C51" s="26"/>
      <c r="D51" s="26"/>
      <c r="E51" s="27"/>
    </row>
    <row r="52" spans="1:5" ht="16.5" thickBot="1" x14ac:dyDescent="0.3">
      <c r="A52" s="37" t="s">
        <v>96</v>
      </c>
      <c r="B52" s="38" t="s">
        <v>6</v>
      </c>
      <c r="C52" s="28"/>
      <c r="D52" s="28"/>
      <c r="E52" s="29"/>
    </row>
    <row r="53" spans="1:5" x14ac:dyDescent="0.25">
      <c r="A53" s="37" t="s">
        <v>93</v>
      </c>
      <c r="B53" s="38">
        <v>75</v>
      </c>
      <c r="C53" s="35"/>
      <c r="D53" s="42"/>
      <c r="E53" s="43"/>
    </row>
    <row r="54" spans="1:5" x14ac:dyDescent="0.25">
      <c r="A54" s="37" t="s">
        <v>94</v>
      </c>
      <c r="B54" s="38">
        <v>20</v>
      </c>
      <c r="C54" s="37"/>
      <c r="D54" s="34"/>
      <c r="E54" s="44"/>
    </row>
    <row r="55" spans="1:5" ht="16.5" thickBot="1" x14ac:dyDescent="0.3">
      <c r="A55" s="39" t="s">
        <v>95</v>
      </c>
      <c r="B55" s="40">
        <v>55</v>
      </c>
      <c r="C55" s="39"/>
      <c r="D55" s="45"/>
      <c r="E55" s="46"/>
    </row>
    <row r="56" spans="1:5" x14ac:dyDescent="0.25">
      <c r="A56" s="35" t="s">
        <v>88</v>
      </c>
      <c r="B56" s="36" t="s">
        <v>42</v>
      </c>
      <c r="C56" s="24"/>
      <c r="D56" s="24"/>
      <c r="E56" s="25"/>
    </row>
    <row r="57" spans="1:5" x14ac:dyDescent="0.25">
      <c r="A57" s="37" t="s">
        <v>91</v>
      </c>
      <c r="B57" s="38" t="s">
        <v>86</v>
      </c>
      <c r="C57" s="26"/>
      <c r="D57" s="26"/>
      <c r="E57" s="27"/>
    </row>
    <row r="58" spans="1:5" ht="16.5" thickBot="1" x14ac:dyDescent="0.3">
      <c r="A58" s="37" t="s">
        <v>96</v>
      </c>
      <c r="B58" s="38" t="s">
        <v>7</v>
      </c>
      <c r="C58" s="28"/>
      <c r="D58" s="28"/>
      <c r="E58" s="29"/>
    </row>
    <row r="59" spans="1:5" x14ac:dyDescent="0.25">
      <c r="A59" s="37" t="s">
        <v>93</v>
      </c>
      <c r="B59" s="38">
        <v>75</v>
      </c>
      <c r="C59" s="35"/>
      <c r="D59" s="42"/>
      <c r="E59" s="43"/>
    </row>
    <row r="60" spans="1:5" x14ac:dyDescent="0.25">
      <c r="A60" s="37" t="s">
        <v>94</v>
      </c>
      <c r="B60" s="38">
        <v>20</v>
      </c>
      <c r="C60" s="37"/>
      <c r="D60" s="34"/>
      <c r="E60" s="44"/>
    </row>
    <row r="61" spans="1:5" ht="16.5" thickBot="1" x14ac:dyDescent="0.3">
      <c r="A61" s="39" t="s">
        <v>95</v>
      </c>
      <c r="B61" s="40">
        <v>55</v>
      </c>
      <c r="C61" s="39"/>
      <c r="D61" s="45"/>
      <c r="E61" s="46"/>
    </row>
    <row r="62" spans="1:5" x14ac:dyDescent="0.25">
      <c r="A62" s="35" t="s">
        <v>88</v>
      </c>
      <c r="B62" s="36" t="s">
        <v>42</v>
      </c>
      <c r="C62" s="24"/>
      <c r="D62" s="24"/>
      <c r="E62" s="25"/>
    </row>
    <row r="63" spans="1:5" x14ac:dyDescent="0.25">
      <c r="A63" s="37" t="s">
        <v>91</v>
      </c>
      <c r="B63" s="38" t="s">
        <v>86</v>
      </c>
      <c r="C63" s="26"/>
      <c r="D63" s="26"/>
      <c r="E63" s="27"/>
    </row>
    <row r="64" spans="1:5" ht="16.5" thickBot="1" x14ac:dyDescent="0.3">
      <c r="A64" s="37" t="s">
        <v>96</v>
      </c>
      <c r="B64" s="38" t="s">
        <v>8</v>
      </c>
      <c r="C64" s="28"/>
      <c r="D64" s="28"/>
      <c r="E64" s="29"/>
    </row>
    <row r="65" spans="1:5" x14ac:dyDescent="0.25">
      <c r="A65" s="37" t="s">
        <v>93</v>
      </c>
      <c r="B65" s="38">
        <v>75</v>
      </c>
      <c r="C65" s="35"/>
      <c r="D65" s="42"/>
      <c r="E65" s="43"/>
    </row>
    <row r="66" spans="1:5" x14ac:dyDescent="0.25">
      <c r="A66" s="37" t="s">
        <v>94</v>
      </c>
      <c r="B66" s="38">
        <v>20</v>
      </c>
      <c r="C66" s="37"/>
      <c r="D66" s="34"/>
      <c r="E66" s="44"/>
    </row>
    <row r="67" spans="1:5" ht="16.5" thickBot="1" x14ac:dyDescent="0.3">
      <c r="A67" s="39" t="s">
        <v>95</v>
      </c>
      <c r="B67" s="40">
        <v>55</v>
      </c>
      <c r="C67" s="39"/>
      <c r="D67" s="45"/>
      <c r="E67" s="46"/>
    </row>
    <row r="68" spans="1:5" x14ac:dyDescent="0.25">
      <c r="A68" s="35" t="s">
        <v>88</v>
      </c>
      <c r="B68" s="36" t="s">
        <v>73</v>
      </c>
      <c r="C68" s="24"/>
      <c r="D68" s="24"/>
      <c r="E68" s="25"/>
    </row>
    <row r="69" spans="1:5" x14ac:dyDescent="0.25">
      <c r="A69" s="37" t="s">
        <v>91</v>
      </c>
      <c r="B69" s="38" t="s">
        <v>83</v>
      </c>
      <c r="C69" s="26"/>
      <c r="D69" s="26"/>
      <c r="E69" s="27"/>
    </row>
    <row r="70" spans="1:5" ht="16.5" thickBot="1" x14ac:dyDescent="0.3">
      <c r="A70" s="37" t="s">
        <v>96</v>
      </c>
      <c r="B70" s="38" t="s">
        <v>22</v>
      </c>
      <c r="C70" s="28"/>
      <c r="D70" s="28"/>
      <c r="E70" s="29"/>
    </row>
    <row r="71" spans="1:5" x14ac:dyDescent="0.25">
      <c r="A71" s="37" t="s">
        <v>93</v>
      </c>
      <c r="B71" s="38">
        <v>75</v>
      </c>
      <c r="C71" s="35"/>
      <c r="D71" s="42"/>
      <c r="E71" s="43"/>
    </row>
    <row r="72" spans="1:5" x14ac:dyDescent="0.25">
      <c r="A72" s="37" t="s">
        <v>94</v>
      </c>
      <c r="B72" s="38">
        <v>20</v>
      </c>
      <c r="C72" s="37"/>
      <c r="D72" s="34"/>
      <c r="E72" s="44"/>
    </row>
    <row r="73" spans="1:5" ht="16.5" thickBot="1" x14ac:dyDescent="0.3">
      <c r="A73" s="39" t="s">
        <v>95</v>
      </c>
      <c r="B73" s="40">
        <v>55</v>
      </c>
      <c r="C73" s="39"/>
      <c r="D73" s="45"/>
      <c r="E73" s="46"/>
    </row>
    <row r="74" spans="1:5" x14ac:dyDescent="0.25">
      <c r="A74" s="35" t="s">
        <v>88</v>
      </c>
      <c r="B74" s="36" t="s">
        <v>32</v>
      </c>
      <c r="C74" s="24"/>
      <c r="D74" s="24"/>
      <c r="E74" s="25"/>
    </row>
    <row r="75" spans="1:5" x14ac:dyDescent="0.25">
      <c r="A75" s="37" t="s">
        <v>91</v>
      </c>
      <c r="B75" s="38" t="s">
        <v>84</v>
      </c>
      <c r="C75" s="26"/>
      <c r="D75" s="26"/>
      <c r="E75" s="27"/>
    </row>
    <row r="76" spans="1:5" ht="16.5" thickBot="1" x14ac:dyDescent="0.3">
      <c r="A76" s="37" t="s">
        <v>96</v>
      </c>
      <c r="B76" s="38" t="s">
        <v>3</v>
      </c>
      <c r="C76" s="28"/>
      <c r="D76" s="28"/>
      <c r="E76" s="29"/>
    </row>
    <row r="77" spans="1:5" x14ac:dyDescent="0.25">
      <c r="A77" s="37" t="s">
        <v>93</v>
      </c>
      <c r="B77" s="38">
        <v>75</v>
      </c>
      <c r="C77" s="35"/>
      <c r="D77" s="42"/>
      <c r="E77" s="43"/>
    </row>
    <row r="78" spans="1:5" x14ac:dyDescent="0.25">
      <c r="A78" s="37" t="s">
        <v>94</v>
      </c>
      <c r="B78" s="38">
        <v>20</v>
      </c>
      <c r="C78" s="37"/>
      <c r="D78" s="34"/>
      <c r="E78" s="44"/>
    </row>
    <row r="79" spans="1:5" ht="16.5" thickBot="1" x14ac:dyDescent="0.3">
      <c r="A79" s="39" t="s">
        <v>95</v>
      </c>
      <c r="B79" s="40">
        <v>55</v>
      </c>
      <c r="C79" s="39"/>
      <c r="D79" s="45"/>
      <c r="E79" s="46"/>
    </row>
    <row r="80" spans="1:5" x14ac:dyDescent="0.25">
      <c r="A80" s="35" t="s">
        <v>88</v>
      </c>
      <c r="B80" s="36" t="s">
        <v>32</v>
      </c>
      <c r="C80" s="24"/>
      <c r="D80" s="24"/>
      <c r="E80" s="25"/>
    </row>
    <row r="81" spans="1:5" x14ac:dyDescent="0.25">
      <c r="A81" s="37" t="s">
        <v>91</v>
      </c>
      <c r="B81" s="38" t="s">
        <v>84</v>
      </c>
      <c r="C81" s="26"/>
      <c r="D81" s="26"/>
      <c r="E81" s="27"/>
    </row>
    <row r="82" spans="1:5" ht="16.5" thickBot="1" x14ac:dyDescent="0.3">
      <c r="A82" s="37" t="s">
        <v>96</v>
      </c>
      <c r="B82" s="38" t="s">
        <v>4</v>
      </c>
      <c r="C82" s="28"/>
      <c r="D82" s="28"/>
      <c r="E82" s="29"/>
    </row>
    <row r="83" spans="1:5" x14ac:dyDescent="0.25">
      <c r="A83" s="37" t="s">
        <v>93</v>
      </c>
      <c r="B83" s="38">
        <v>75</v>
      </c>
      <c r="C83" s="35"/>
      <c r="D83" s="42"/>
      <c r="E83" s="43"/>
    </row>
    <row r="84" spans="1:5" x14ac:dyDescent="0.25">
      <c r="A84" s="37" t="s">
        <v>94</v>
      </c>
      <c r="B84" s="38">
        <v>20</v>
      </c>
      <c r="C84" s="37"/>
      <c r="D84" s="34"/>
      <c r="E84" s="44"/>
    </row>
    <row r="85" spans="1:5" ht="16.5" thickBot="1" x14ac:dyDescent="0.3">
      <c r="A85" s="39" t="s">
        <v>95</v>
      </c>
      <c r="B85" s="40">
        <v>55</v>
      </c>
      <c r="C85" s="39"/>
      <c r="D85" s="45"/>
      <c r="E85" s="46"/>
    </row>
    <row r="86" spans="1:5" x14ac:dyDescent="0.25">
      <c r="A86" s="35" t="s">
        <v>88</v>
      </c>
      <c r="B86" s="36" t="s">
        <v>32</v>
      </c>
      <c r="C86" s="24"/>
      <c r="D86" s="24"/>
      <c r="E86" s="25"/>
    </row>
    <row r="87" spans="1:5" x14ac:dyDescent="0.25">
      <c r="A87" s="37" t="s">
        <v>91</v>
      </c>
      <c r="B87" s="38" t="s">
        <v>84</v>
      </c>
      <c r="C87" s="26"/>
      <c r="D87" s="26"/>
      <c r="E87" s="27"/>
    </row>
    <row r="88" spans="1:5" ht="16.5" thickBot="1" x14ac:dyDescent="0.3">
      <c r="A88" s="37" t="s">
        <v>96</v>
      </c>
      <c r="B88" s="38" t="s">
        <v>5</v>
      </c>
      <c r="C88" s="28"/>
      <c r="D88" s="28"/>
      <c r="E88" s="29"/>
    </row>
    <row r="89" spans="1:5" x14ac:dyDescent="0.25">
      <c r="A89" s="37" t="s">
        <v>93</v>
      </c>
      <c r="B89" s="38">
        <v>75</v>
      </c>
      <c r="C89" s="35"/>
      <c r="D89" s="42"/>
      <c r="E89" s="43"/>
    </row>
    <row r="90" spans="1:5" x14ac:dyDescent="0.25">
      <c r="A90" s="37" t="s">
        <v>94</v>
      </c>
      <c r="B90" s="38">
        <v>20</v>
      </c>
      <c r="C90" s="37"/>
      <c r="D90" s="34"/>
      <c r="E90" s="44"/>
    </row>
    <row r="91" spans="1:5" ht="16.5" thickBot="1" x14ac:dyDescent="0.3">
      <c r="A91" s="39" t="s">
        <v>95</v>
      </c>
      <c r="B91" s="40">
        <v>55</v>
      </c>
      <c r="C91" s="39"/>
      <c r="D91" s="45"/>
      <c r="E91" s="46"/>
    </row>
    <row r="92" spans="1:5" x14ac:dyDescent="0.25">
      <c r="A92" s="35" t="s">
        <v>88</v>
      </c>
      <c r="B92" s="36" t="s">
        <v>32</v>
      </c>
      <c r="C92" s="24"/>
      <c r="D92" s="24"/>
      <c r="E92" s="25"/>
    </row>
    <row r="93" spans="1:5" x14ac:dyDescent="0.25">
      <c r="A93" s="37" t="s">
        <v>91</v>
      </c>
      <c r="B93" s="38" t="s">
        <v>84</v>
      </c>
      <c r="C93" s="26"/>
      <c r="D93" s="26"/>
      <c r="E93" s="27"/>
    </row>
    <row r="94" spans="1:5" ht="16.5" thickBot="1" x14ac:dyDescent="0.3">
      <c r="A94" s="37" t="s">
        <v>96</v>
      </c>
      <c r="B94" s="38" t="s">
        <v>6</v>
      </c>
      <c r="C94" s="28"/>
      <c r="D94" s="28"/>
      <c r="E94" s="29"/>
    </row>
    <row r="95" spans="1:5" x14ac:dyDescent="0.25">
      <c r="A95" s="37" t="s">
        <v>93</v>
      </c>
      <c r="B95" s="38">
        <v>75</v>
      </c>
      <c r="C95" s="35"/>
      <c r="D95" s="42"/>
      <c r="E95" s="43"/>
    </row>
    <row r="96" spans="1:5" x14ac:dyDescent="0.25">
      <c r="A96" s="37" t="s">
        <v>94</v>
      </c>
      <c r="B96" s="38">
        <v>20</v>
      </c>
      <c r="C96" s="37"/>
      <c r="D96" s="34"/>
      <c r="E96" s="44"/>
    </row>
    <row r="97" spans="1:5" ht="16.5" thickBot="1" x14ac:dyDescent="0.3">
      <c r="A97" s="39" t="s">
        <v>95</v>
      </c>
      <c r="B97" s="40">
        <v>55</v>
      </c>
      <c r="C97" s="39"/>
      <c r="D97" s="45"/>
      <c r="E97" s="46"/>
    </row>
    <row r="98" spans="1:5" x14ac:dyDescent="0.25">
      <c r="A98" s="35" t="s">
        <v>88</v>
      </c>
      <c r="B98" s="36" t="s">
        <v>32</v>
      </c>
      <c r="C98" s="24"/>
      <c r="D98" s="24"/>
      <c r="E98" s="25"/>
    </row>
    <row r="99" spans="1:5" x14ac:dyDescent="0.25">
      <c r="A99" s="37" t="s">
        <v>91</v>
      </c>
      <c r="B99" s="38" t="s">
        <v>84</v>
      </c>
      <c r="C99" s="26"/>
      <c r="D99" s="26"/>
      <c r="E99" s="27"/>
    </row>
    <row r="100" spans="1:5" ht="16.5" thickBot="1" x14ac:dyDescent="0.3">
      <c r="A100" s="37" t="s">
        <v>96</v>
      </c>
      <c r="B100" s="38" t="s">
        <v>11</v>
      </c>
      <c r="C100" s="28"/>
      <c r="D100" s="28"/>
      <c r="E100" s="29"/>
    </row>
    <row r="101" spans="1:5" x14ac:dyDescent="0.25">
      <c r="A101" s="37" t="s">
        <v>93</v>
      </c>
      <c r="B101" s="38">
        <v>75</v>
      </c>
      <c r="C101" s="35"/>
      <c r="D101" s="42"/>
      <c r="E101" s="43"/>
    </row>
    <row r="102" spans="1:5" x14ac:dyDescent="0.25">
      <c r="A102" s="37" t="s">
        <v>94</v>
      </c>
      <c r="B102" s="38">
        <v>20</v>
      </c>
      <c r="C102" s="37"/>
      <c r="D102" s="34"/>
      <c r="E102" s="44"/>
    </row>
    <row r="103" spans="1:5" ht="16.5" thickBot="1" x14ac:dyDescent="0.3">
      <c r="A103" s="39" t="s">
        <v>95</v>
      </c>
      <c r="B103" s="40">
        <v>55</v>
      </c>
      <c r="C103" s="39"/>
      <c r="D103" s="45"/>
      <c r="E103" s="46"/>
    </row>
    <row r="104" spans="1:5" x14ac:dyDescent="0.25">
      <c r="A104" s="35" t="s">
        <v>88</v>
      </c>
      <c r="B104" s="36" t="s">
        <v>32</v>
      </c>
      <c r="C104" s="24"/>
      <c r="D104" s="24"/>
      <c r="E104" s="25"/>
    </row>
    <row r="105" spans="1:5" x14ac:dyDescent="0.25">
      <c r="A105" s="37" t="s">
        <v>91</v>
      </c>
      <c r="B105" s="38" t="s">
        <v>84</v>
      </c>
      <c r="C105" s="26"/>
      <c r="D105" s="26"/>
      <c r="E105" s="27"/>
    </row>
    <row r="106" spans="1:5" ht="16.5" thickBot="1" x14ac:dyDescent="0.3">
      <c r="A106" s="37" t="s">
        <v>96</v>
      </c>
      <c r="B106" s="38" t="s">
        <v>15</v>
      </c>
      <c r="C106" s="28"/>
      <c r="D106" s="28"/>
      <c r="E106" s="29"/>
    </row>
    <row r="107" spans="1:5" x14ac:dyDescent="0.25">
      <c r="A107" s="37" t="s">
        <v>93</v>
      </c>
      <c r="B107" s="38">
        <v>75</v>
      </c>
      <c r="C107" s="35"/>
      <c r="D107" s="42"/>
      <c r="E107" s="43"/>
    </row>
    <row r="108" spans="1:5" x14ac:dyDescent="0.25">
      <c r="A108" s="37" t="s">
        <v>94</v>
      </c>
      <c r="B108" s="38">
        <v>20</v>
      </c>
      <c r="C108" s="37"/>
      <c r="D108" s="34"/>
      <c r="E108" s="44"/>
    </row>
    <row r="109" spans="1:5" ht="16.5" thickBot="1" x14ac:dyDescent="0.3">
      <c r="A109" s="39" t="s">
        <v>95</v>
      </c>
      <c r="B109" s="40">
        <v>55</v>
      </c>
      <c r="C109" s="39"/>
      <c r="D109" s="45"/>
      <c r="E109" s="46"/>
    </row>
    <row r="110" spans="1:5" x14ac:dyDescent="0.25">
      <c r="A110" s="35" t="s">
        <v>88</v>
      </c>
      <c r="B110" s="36" t="s">
        <v>32</v>
      </c>
      <c r="C110" s="24"/>
      <c r="D110" s="24"/>
      <c r="E110" s="25"/>
    </row>
    <row r="111" spans="1:5" x14ac:dyDescent="0.25">
      <c r="A111" s="37" t="s">
        <v>91</v>
      </c>
      <c r="B111" s="38" t="s">
        <v>84</v>
      </c>
      <c r="C111" s="26"/>
      <c r="D111" s="26"/>
      <c r="E111" s="27"/>
    </row>
    <row r="112" spans="1:5" ht="16.5" thickBot="1" x14ac:dyDescent="0.3">
      <c r="A112" s="37" t="s">
        <v>96</v>
      </c>
      <c r="B112" s="38" t="s">
        <v>16</v>
      </c>
      <c r="C112" s="28"/>
      <c r="D112" s="28"/>
      <c r="E112" s="29"/>
    </row>
    <row r="113" spans="1:5" x14ac:dyDescent="0.25">
      <c r="A113" s="37" t="s">
        <v>93</v>
      </c>
      <c r="B113" s="38">
        <v>75</v>
      </c>
      <c r="C113" s="35"/>
      <c r="D113" s="42"/>
      <c r="E113" s="43"/>
    </row>
    <row r="114" spans="1:5" x14ac:dyDescent="0.25">
      <c r="A114" s="37" t="s">
        <v>94</v>
      </c>
      <c r="B114" s="38">
        <v>20</v>
      </c>
      <c r="C114" s="37"/>
      <c r="D114" s="34"/>
      <c r="E114" s="44"/>
    </row>
    <row r="115" spans="1:5" ht="16.5" thickBot="1" x14ac:dyDescent="0.3">
      <c r="A115" s="39" t="s">
        <v>95</v>
      </c>
      <c r="B115" s="40">
        <v>55</v>
      </c>
      <c r="C115" s="39"/>
      <c r="D115" s="45"/>
      <c r="E115" s="46"/>
    </row>
    <row r="116" spans="1:5" x14ac:dyDescent="0.25">
      <c r="A116" s="35" t="s">
        <v>88</v>
      </c>
      <c r="B116" s="36" t="s">
        <v>32</v>
      </c>
      <c r="C116" s="24"/>
      <c r="D116" s="24"/>
      <c r="E116" s="25"/>
    </row>
    <row r="117" spans="1:5" x14ac:dyDescent="0.25">
      <c r="A117" s="37" t="s">
        <v>91</v>
      </c>
      <c r="B117" s="38" t="s">
        <v>84</v>
      </c>
      <c r="C117" s="26"/>
      <c r="D117" s="26"/>
      <c r="E117" s="27"/>
    </row>
    <row r="118" spans="1:5" ht="16.5" thickBot="1" x14ac:dyDescent="0.3">
      <c r="A118" s="37" t="s">
        <v>96</v>
      </c>
      <c r="B118" s="38" t="s">
        <v>17</v>
      </c>
      <c r="C118" s="28"/>
      <c r="D118" s="28"/>
      <c r="E118" s="29"/>
    </row>
    <row r="119" spans="1:5" x14ac:dyDescent="0.25">
      <c r="A119" s="37" t="s">
        <v>93</v>
      </c>
      <c r="B119" s="38">
        <v>75</v>
      </c>
      <c r="C119" s="35"/>
      <c r="D119" s="42"/>
      <c r="E119" s="43"/>
    </row>
    <row r="120" spans="1:5" x14ac:dyDescent="0.25">
      <c r="A120" s="37" t="s">
        <v>94</v>
      </c>
      <c r="B120" s="38">
        <v>20</v>
      </c>
      <c r="C120" s="37"/>
      <c r="D120" s="34"/>
      <c r="E120" s="44"/>
    </row>
    <row r="121" spans="1:5" ht="16.5" thickBot="1" x14ac:dyDescent="0.3">
      <c r="A121" s="39" t="s">
        <v>95</v>
      </c>
      <c r="B121" s="40">
        <v>55</v>
      </c>
      <c r="C121" s="39"/>
      <c r="D121" s="45"/>
      <c r="E121" s="46"/>
    </row>
    <row r="122" spans="1:5" x14ac:dyDescent="0.25">
      <c r="A122" s="35" t="s">
        <v>88</v>
      </c>
      <c r="B122" s="36" t="s">
        <v>32</v>
      </c>
      <c r="C122" s="24"/>
      <c r="D122" s="24"/>
      <c r="E122" s="25"/>
    </row>
    <row r="123" spans="1:5" x14ac:dyDescent="0.25">
      <c r="A123" s="37" t="s">
        <v>91</v>
      </c>
      <c r="B123" s="38" t="s">
        <v>84</v>
      </c>
      <c r="C123" s="26"/>
      <c r="D123" s="26"/>
      <c r="E123" s="27"/>
    </row>
    <row r="124" spans="1:5" ht="16.5" thickBot="1" x14ac:dyDescent="0.3">
      <c r="A124" s="37" t="s">
        <v>96</v>
      </c>
      <c r="B124" s="38" t="s">
        <v>18</v>
      </c>
      <c r="C124" s="28"/>
      <c r="D124" s="28"/>
      <c r="E124" s="29"/>
    </row>
    <row r="125" spans="1:5" x14ac:dyDescent="0.25">
      <c r="A125" s="37" t="s">
        <v>93</v>
      </c>
      <c r="B125" s="38">
        <v>75</v>
      </c>
      <c r="C125" s="35"/>
      <c r="D125" s="42"/>
      <c r="E125" s="43"/>
    </row>
    <row r="126" spans="1:5" x14ac:dyDescent="0.25">
      <c r="A126" s="37" t="s">
        <v>94</v>
      </c>
      <c r="B126" s="38">
        <v>20</v>
      </c>
      <c r="C126" s="37"/>
      <c r="D126" s="34"/>
      <c r="E126" s="44"/>
    </row>
    <row r="127" spans="1:5" ht="16.5" thickBot="1" x14ac:dyDescent="0.3">
      <c r="A127" s="39" t="s">
        <v>95</v>
      </c>
      <c r="B127" s="40">
        <v>55</v>
      </c>
      <c r="C127" s="39"/>
      <c r="D127" s="45"/>
      <c r="E127" s="46"/>
    </row>
    <row r="128" spans="1:5" x14ac:dyDescent="0.25">
      <c r="A128" s="35" t="s">
        <v>88</v>
      </c>
      <c r="B128" s="36" t="s">
        <v>33</v>
      </c>
      <c r="C128" s="24"/>
      <c r="D128" s="24"/>
      <c r="E128" s="25"/>
    </row>
    <row r="129" spans="1:5" x14ac:dyDescent="0.25">
      <c r="A129" s="37" t="s">
        <v>91</v>
      </c>
      <c r="B129" s="38" t="s">
        <v>87</v>
      </c>
      <c r="C129" s="26"/>
      <c r="D129" s="26"/>
      <c r="E129" s="27"/>
    </row>
    <row r="130" spans="1:5" ht="16.5" thickBot="1" x14ac:dyDescent="0.3">
      <c r="A130" s="37" t="s">
        <v>96</v>
      </c>
      <c r="B130" s="38" t="s">
        <v>3</v>
      </c>
      <c r="C130" s="28"/>
      <c r="D130" s="28"/>
      <c r="E130" s="29"/>
    </row>
    <row r="131" spans="1:5" x14ac:dyDescent="0.25">
      <c r="A131" s="37" t="s">
        <v>93</v>
      </c>
      <c r="B131" s="38">
        <v>75</v>
      </c>
      <c r="C131" s="35"/>
      <c r="D131" s="42"/>
      <c r="E131" s="43"/>
    </row>
    <row r="132" spans="1:5" x14ac:dyDescent="0.25">
      <c r="A132" s="37" t="s">
        <v>94</v>
      </c>
      <c r="B132" s="38">
        <v>20</v>
      </c>
      <c r="C132" s="37"/>
      <c r="D132" s="34"/>
      <c r="E132" s="44"/>
    </row>
    <row r="133" spans="1:5" ht="16.5" thickBot="1" x14ac:dyDescent="0.3">
      <c r="A133" s="39" t="s">
        <v>95</v>
      </c>
      <c r="B133" s="40">
        <v>55</v>
      </c>
      <c r="C133" s="39"/>
      <c r="D133" s="45"/>
      <c r="E133" s="46"/>
    </row>
    <row r="134" spans="1:5" x14ac:dyDescent="0.25">
      <c r="A134" s="35" t="s">
        <v>88</v>
      </c>
      <c r="B134" s="36" t="s">
        <v>33</v>
      </c>
      <c r="C134" s="24"/>
      <c r="D134" s="24"/>
      <c r="E134" s="25"/>
    </row>
    <row r="135" spans="1:5" x14ac:dyDescent="0.25">
      <c r="A135" s="37" t="s">
        <v>91</v>
      </c>
      <c r="B135" s="38" t="s">
        <v>87</v>
      </c>
      <c r="C135" s="26"/>
      <c r="D135" s="26"/>
      <c r="E135" s="27"/>
    </row>
    <row r="136" spans="1:5" ht="16.5" thickBot="1" x14ac:dyDescent="0.3">
      <c r="A136" s="37" t="s">
        <v>96</v>
      </c>
      <c r="B136" s="38" t="s">
        <v>4</v>
      </c>
      <c r="C136" s="28"/>
      <c r="D136" s="28"/>
      <c r="E136" s="29"/>
    </row>
    <row r="137" spans="1:5" x14ac:dyDescent="0.25">
      <c r="A137" s="37" t="s">
        <v>93</v>
      </c>
      <c r="B137" s="38">
        <v>75</v>
      </c>
      <c r="C137" s="35"/>
      <c r="D137" s="42"/>
      <c r="E137" s="43"/>
    </row>
    <row r="138" spans="1:5" x14ac:dyDescent="0.25">
      <c r="A138" s="37" t="s">
        <v>94</v>
      </c>
      <c r="B138" s="38">
        <v>20</v>
      </c>
      <c r="C138" s="37"/>
      <c r="D138" s="34"/>
      <c r="E138" s="44"/>
    </row>
    <row r="139" spans="1:5" ht="16.5" thickBot="1" x14ac:dyDescent="0.3">
      <c r="A139" s="39" t="s">
        <v>95</v>
      </c>
      <c r="B139" s="40">
        <v>55</v>
      </c>
      <c r="C139" s="39"/>
      <c r="D139" s="45"/>
      <c r="E139" s="46"/>
    </row>
    <row r="140" spans="1:5" x14ac:dyDescent="0.25">
      <c r="A140" s="35" t="s">
        <v>88</v>
      </c>
      <c r="B140" s="36" t="s">
        <v>33</v>
      </c>
      <c r="C140" s="24"/>
      <c r="D140" s="24"/>
      <c r="E140" s="25"/>
    </row>
    <row r="141" spans="1:5" x14ac:dyDescent="0.25">
      <c r="A141" s="37" t="s">
        <v>91</v>
      </c>
      <c r="B141" s="38" t="s">
        <v>87</v>
      </c>
      <c r="C141" s="26"/>
      <c r="D141" s="26"/>
      <c r="E141" s="27"/>
    </row>
    <row r="142" spans="1:5" ht="16.5" thickBot="1" x14ac:dyDescent="0.3">
      <c r="A142" s="37" t="s">
        <v>96</v>
      </c>
      <c r="B142" s="38" t="s">
        <v>5</v>
      </c>
      <c r="C142" s="28"/>
      <c r="D142" s="28"/>
      <c r="E142" s="29"/>
    </row>
    <row r="143" spans="1:5" x14ac:dyDescent="0.25">
      <c r="A143" s="37" t="s">
        <v>93</v>
      </c>
      <c r="B143" s="38">
        <v>75</v>
      </c>
      <c r="C143" s="35"/>
      <c r="D143" s="42"/>
      <c r="E143" s="43"/>
    </row>
    <row r="144" spans="1:5" x14ac:dyDescent="0.25">
      <c r="A144" s="37" t="s">
        <v>94</v>
      </c>
      <c r="B144" s="38">
        <v>20</v>
      </c>
      <c r="C144" s="37"/>
      <c r="D144" s="34"/>
      <c r="E144" s="44"/>
    </row>
    <row r="145" spans="1:5" ht="16.5" thickBot="1" x14ac:dyDescent="0.3">
      <c r="A145" s="39" t="s">
        <v>95</v>
      </c>
      <c r="B145" s="40">
        <v>55</v>
      </c>
      <c r="C145" s="39"/>
      <c r="D145" s="45"/>
      <c r="E145" s="46"/>
    </row>
    <row r="146" spans="1:5" x14ac:dyDescent="0.25">
      <c r="A146" s="35" t="s">
        <v>88</v>
      </c>
      <c r="B146" s="36" t="s">
        <v>33</v>
      </c>
      <c r="C146" s="24"/>
      <c r="D146" s="24"/>
      <c r="E146" s="25"/>
    </row>
    <row r="147" spans="1:5" x14ac:dyDescent="0.25">
      <c r="A147" s="37" t="s">
        <v>91</v>
      </c>
      <c r="B147" s="38" t="s">
        <v>87</v>
      </c>
      <c r="C147" s="26"/>
      <c r="D147" s="26"/>
      <c r="E147" s="27"/>
    </row>
    <row r="148" spans="1:5" ht="16.5" thickBot="1" x14ac:dyDescent="0.3">
      <c r="A148" s="37" t="s">
        <v>96</v>
      </c>
      <c r="B148" s="38" t="s">
        <v>11</v>
      </c>
      <c r="C148" s="28"/>
      <c r="D148" s="28"/>
      <c r="E148" s="29"/>
    </row>
    <row r="149" spans="1:5" x14ac:dyDescent="0.25">
      <c r="A149" s="37" t="s">
        <v>93</v>
      </c>
      <c r="B149" s="38">
        <v>75</v>
      </c>
      <c r="C149" s="35"/>
      <c r="D149" s="42"/>
      <c r="E149" s="43"/>
    </row>
    <row r="150" spans="1:5" x14ac:dyDescent="0.25">
      <c r="A150" s="37" t="s">
        <v>94</v>
      </c>
      <c r="B150" s="38">
        <v>20</v>
      </c>
      <c r="C150" s="37"/>
      <c r="D150" s="34"/>
      <c r="E150" s="44"/>
    </row>
    <row r="151" spans="1:5" ht="16.5" thickBot="1" x14ac:dyDescent="0.3">
      <c r="A151" s="39" t="s">
        <v>95</v>
      </c>
      <c r="B151" s="40">
        <v>100</v>
      </c>
      <c r="C151" s="39"/>
      <c r="D151" s="45"/>
      <c r="E151" s="46"/>
    </row>
    <row r="152" spans="1:5" x14ac:dyDescent="0.25">
      <c r="A152" s="35" t="s">
        <v>88</v>
      </c>
      <c r="B152" s="36" t="s">
        <v>33</v>
      </c>
      <c r="C152" s="24"/>
      <c r="D152" s="24"/>
      <c r="E152" s="25"/>
    </row>
    <row r="153" spans="1:5" x14ac:dyDescent="0.25">
      <c r="A153" s="37" t="s">
        <v>91</v>
      </c>
      <c r="B153" s="38" t="s">
        <v>87</v>
      </c>
      <c r="C153" s="26"/>
      <c r="D153" s="26"/>
      <c r="E153" s="27"/>
    </row>
    <row r="154" spans="1:5" ht="16.5" thickBot="1" x14ac:dyDescent="0.3">
      <c r="A154" s="37" t="s">
        <v>96</v>
      </c>
      <c r="B154" s="38" t="s">
        <v>12</v>
      </c>
      <c r="C154" s="28"/>
      <c r="D154" s="28"/>
      <c r="E154" s="29"/>
    </row>
    <row r="155" spans="1:5" x14ac:dyDescent="0.25">
      <c r="A155" s="37" t="s">
        <v>93</v>
      </c>
      <c r="B155" s="38">
        <v>75</v>
      </c>
      <c r="C155" s="35"/>
      <c r="D155" s="42"/>
      <c r="E155" s="43"/>
    </row>
    <row r="156" spans="1:5" x14ac:dyDescent="0.25">
      <c r="A156" s="37" t="s">
        <v>94</v>
      </c>
      <c r="B156" s="38">
        <v>20</v>
      </c>
      <c r="C156" s="37"/>
      <c r="D156" s="34"/>
      <c r="E156" s="44"/>
    </row>
    <row r="157" spans="1:5" ht="16.5" thickBot="1" x14ac:dyDescent="0.3">
      <c r="A157" s="39" t="s">
        <v>95</v>
      </c>
      <c r="B157" s="40">
        <v>55</v>
      </c>
      <c r="C157" s="39"/>
      <c r="D157" s="45"/>
      <c r="E157" s="46"/>
    </row>
    <row r="158" spans="1:5" x14ac:dyDescent="0.25">
      <c r="A158" s="35" t="s">
        <v>88</v>
      </c>
      <c r="B158" s="36" t="s">
        <v>33</v>
      </c>
      <c r="C158" s="24"/>
      <c r="D158" s="24"/>
      <c r="E158" s="25"/>
    </row>
    <row r="159" spans="1:5" x14ac:dyDescent="0.25">
      <c r="A159" s="37" t="s">
        <v>91</v>
      </c>
      <c r="B159" s="38" t="s">
        <v>87</v>
      </c>
      <c r="C159" s="26"/>
      <c r="D159" s="26"/>
      <c r="E159" s="27"/>
    </row>
    <row r="160" spans="1:5" ht="16.5" thickBot="1" x14ac:dyDescent="0.3">
      <c r="A160" s="37" t="s">
        <v>96</v>
      </c>
      <c r="B160" s="38" t="s">
        <v>13</v>
      </c>
      <c r="C160" s="28"/>
      <c r="D160" s="28"/>
      <c r="E160" s="29"/>
    </row>
    <row r="161" spans="1:5" x14ac:dyDescent="0.25">
      <c r="A161" s="37" t="s">
        <v>93</v>
      </c>
      <c r="B161" s="38">
        <v>75</v>
      </c>
      <c r="C161" s="35"/>
      <c r="D161" s="42"/>
      <c r="E161" s="43"/>
    </row>
    <row r="162" spans="1:5" x14ac:dyDescent="0.25">
      <c r="A162" s="37" t="s">
        <v>94</v>
      </c>
      <c r="B162" s="38">
        <v>20</v>
      </c>
      <c r="C162" s="37"/>
      <c r="D162" s="34"/>
      <c r="E162" s="44"/>
    </row>
    <row r="163" spans="1:5" ht="16.5" thickBot="1" x14ac:dyDescent="0.3">
      <c r="A163" s="39" t="s">
        <v>95</v>
      </c>
      <c r="B163" s="40">
        <v>55</v>
      </c>
      <c r="C163" s="39"/>
      <c r="D163" s="45"/>
      <c r="E163" s="46"/>
    </row>
    <row r="164" spans="1:5" x14ac:dyDescent="0.25">
      <c r="A164" s="35" t="s">
        <v>88</v>
      </c>
      <c r="B164" s="36" t="s">
        <v>33</v>
      </c>
      <c r="C164" s="24"/>
      <c r="D164" s="24"/>
      <c r="E164" s="25"/>
    </row>
    <row r="165" spans="1:5" x14ac:dyDescent="0.25">
      <c r="A165" s="37" t="s">
        <v>91</v>
      </c>
      <c r="B165" s="38" t="s">
        <v>87</v>
      </c>
      <c r="C165" s="26"/>
      <c r="D165" s="26"/>
      <c r="E165" s="27"/>
    </row>
    <row r="166" spans="1:5" ht="16.5" thickBot="1" x14ac:dyDescent="0.3">
      <c r="A166" s="37" t="s">
        <v>96</v>
      </c>
      <c r="B166" s="38" t="s">
        <v>14</v>
      </c>
      <c r="C166" s="28"/>
      <c r="D166" s="28"/>
      <c r="E166" s="29"/>
    </row>
    <row r="167" spans="1:5" x14ac:dyDescent="0.25">
      <c r="A167" s="37" t="s">
        <v>93</v>
      </c>
      <c r="B167" s="38">
        <v>75</v>
      </c>
      <c r="C167" s="35"/>
      <c r="D167" s="42"/>
      <c r="E167" s="43"/>
    </row>
    <row r="168" spans="1:5" x14ac:dyDescent="0.25">
      <c r="A168" s="37" t="s">
        <v>94</v>
      </c>
      <c r="B168" s="38">
        <v>20</v>
      </c>
      <c r="C168" s="37"/>
      <c r="D168" s="34"/>
      <c r="E168" s="44"/>
    </row>
    <row r="169" spans="1:5" ht="16.5" thickBot="1" x14ac:dyDescent="0.3">
      <c r="A169" s="39" t="s">
        <v>95</v>
      </c>
      <c r="B169" s="40">
        <v>55</v>
      </c>
      <c r="C169" s="39"/>
      <c r="D169" s="45"/>
      <c r="E169" s="46"/>
    </row>
    <row r="170" spans="1:5" x14ac:dyDescent="0.25">
      <c r="A170" s="35" t="s">
        <v>88</v>
      </c>
      <c r="B170" s="36" t="s">
        <v>33</v>
      </c>
      <c r="C170" s="24"/>
      <c r="D170" s="24"/>
      <c r="E170" s="25"/>
    </row>
    <row r="171" spans="1:5" x14ac:dyDescent="0.25">
      <c r="A171" s="37" t="s">
        <v>91</v>
      </c>
      <c r="B171" s="38" t="s">
        <v>87</v>
      </c>
      <c r="C171" s="26"/>
      <c r="D171" s="26"/>
      <c r="E171" s="27"/>
    </row>
    <row r="172" spans="1:5" ht="16.5" thickBot="1" x14ac:dyDescent="0.3">
      <c r="A172" s="37" t="s">
        <v>96</v>
      </c>
      <c r="B172" s="38" t="s">
        <v>17</v>
      </c>
      <c r="C172" s="28"/>
      <c r="D172" s="28"/>
      <c r="E172" s="29"/>
    </row>
    <row r="173" spans="1:5" x14ac:dyDescent="0.25">
      <c r="A173" s="37" t="s">
        <v>93</v>
      </c>
      <c r="B173" s="38">
        <v>75</v>
      </c>
      <c r="C173" s="35"/>
      <c r="D173" s="42"/>
      <c r="E173" s="43"/>
    </row>
    <row r="174" spans="1:5" x14ac:dyDescent="0.25">
      <c r="A174" s="37" t="s">
        <v>94</v>
      </c>
      <c r="B174" s="38">
        <v>20</v>
      </c>
      <c r="C174" s="37"/>
      <c r="D174" s="34"/>
      <c r="E174" s="44"/>
    </row>
    <row r="175" spans="1:5" ht="16.5" thickBot="1" x14ac:dyDescent="0.3">
      <c r="A175" s="39" t="s">
        <v>95</v>
      </c>
      <c r="B175" s="40">
        <v>55</v>
      </c>
      <c r="C175" s="39"/>
      <c r="D175" s="45"/>
      <c r="E175" s="46"/>
    </row>
    <row r="176" spans="1:5" x14ac:dyDescent="0.25">
      <c r="A176" s="35" t="s">
        <v>88</v>
      </c>
      <c r="B176" s="36" t="s">
        <v>33</v>
      </c>
      <c r="C176" s="24"/>
      <c r="D176" s="24"/>
      <c r="E176" s="25"/>
    </row>
    <row r="177" spans="1:5" x14ac:dyDescent="0.25">
      <c r="A177" s="37" t="s">
        <v>91</v>
      </c>
      <c r="B177" s="38" t="s">
        <v>87</v>
      </c>
      <c r="C177" s="26"/>
      <c r="D177" s="26"/>
      <c r="E177" s="27"/>
    </row>
    <row r="178" spans="1:5" ht="16.5" thickBot="1" x14ac:dyDescent="0.3">
      <c r="A178" s="37" t="s">
        <v>96</v>
      </c>
      <c r="B178" s="38" t="s">
        <v>18</v>
      </c>
      <c r="C178" s="28"/>
      <c r="D178" s="28"/>
      <c r="E178" s="29"/>
    </row>
    <row r="179" spans="1:5" x14ac:dyDescent="0.25">
      <c r="A179" s="37" t="s">
        <v>93</v>
      </c>
      <c r="B179" s="38">
        <v>75</v>
      </c>
      <c r="C179" s="35"/>
      <c r="D179" s="42"/>
      <c r="E179" s="43"/>
    </row>
    <row r="180" spans="1:5" x14ac:dyDescent="0.25">
      <c r="A180" s="37" t="s">
        <v>94</v>
      </c>
      <c r="B180" s="38">
        <v>20</v>
      </c>
      <c r="C180" s="37"/>
      <c r="D180" s="34"/>
      <c r="E180" s="44"/>
    </row>
    <row r="181" spans="1:5" ht="16.5" thickBot="1" x14ac:dyDescent="0.3">
      <c r="A181" s="39" t="s">
        <v>95</v>
      </c>
      <c r="B181" s="40">
        <v>55</v>
      </c>
      <c r="C181" s="39"/>
      <c r="D181" s="45"/>
      <c r="E181" s="46"/>
    </row>
    <row r="182" spans="1:5" x14ac:dyDescent="0.25">
      <c r="A182" s="35" t="s">
        <v>88</v>
      </c>
      <c r="B182" s="36" t="s">
        <v>33</v>
      </c>
      <c r="C182" s="24"/>
      <c r="D182" s="24"/>
      <c r="E182" s="25"/>
    </row>
    <row r="183" spans="1:5" x14ac:dyDescent="0.25">
      <c r="A183" s="37" t="s">
        <v>91</v>
      </c>
      <c r="B183" s="38" t="s">
        <v>87</v>
      </c>
      <c r="C183" s="26"/>
      <c r="D183" s="26"/>
      <c r="E183" s="27"/>
    </row>
    <row r="184" spans="1:5" ht="16.5" thickBot="1" x14ac:dyDescent="0.3">
      <c r="A184" s="37" t="s">
        <v>96</v>
      </c>
      <c r="B184" s="38" t="s">
        <v>19</v>
      </c>
      <c r="C184" s="28"/>
      <c r="D184" s="28"/>
      <c r="E184" s="29"/>
    </row>
    <row r="185" spans="1:5" x14ac:dyDescent="0.25">
      <c r="A185" s="37" t="s">
        <v>93</v>
      </c>
      <c r="B185" s="38">
        <v>75</v>
      </c>
      <c r="C185" s="35"/>
      <c r="D185" s="42"/>
      <c r="E185" s="43"/>
    </row>
    <row r="186" spans="1:5" x14ac:dyDescent="0.25">
      <c r="A186" s="37" t="s">
        <v>94</v>
      </c>
      <c r="B186" s="38">
        <v>20</v>
      </c>
      <c r="C186" s="37"/>
      <c r="D186" s="34"/>
      <c r="E186" s="44"/>
    </row>
    <row r="187" spans="1:5" ht="16.5" thickBot="1" x14ac:dyDescent="0.3">
      <c r="A187" s="39" t="s">
        <v>95</v>
      </c>
      <c r="B187" s="40">
        <v>55</v>
      </c>
      <c r="C187" s="39"/>
      <c r="D187" s="45"/>
      <c r="E187" s="46"/>
    </row>
    <row r="188" spans="1:5" x14ac:dyDescent="0.25">
      <c r="A188" s="35" t="s">
        <v>88</v>
      </c>
      <c r="B188" s="36" t="s">
        <v>33</v>
      </c>
      <c r="C188" s="24"/>
      <c r="D188" s="24"/>
      <c r="E188" s="25"/>
    </row>
    <row r="189" spans="1:5" x14ac:dyDescent="0.25">
      <c r="A189" s="37" t="s">
        <v>91</v>
      </c>
      <c r="B189" s="38" t="s">
        <v>87</v>
      </c>
      <c r="C189" s="26"/>
      <c r="D189" s="26"/>
      <c r="E189" s="27"/>
    </row>
    <row r="190" spans="1:5" ht="16.5" thickBot="1" x14ac:dyDescent="0.3">
      <c r="A190" s="37" t="s">
        <v>96</v>
      </c>
      <c r="B190" s="38" t="s">
        <v>20</v>
      </c>
      <c r="C190" s="28"/>
      <c r="D190" s="28"/>
      <c r="E190" s="29"/>
    </row>
    <row r="191" spans="1:5" x14ac:dyDescent="0.25">
      <c r="A191" s="37" t="s">
        <v>93</v>
      </c>
      <c r="B191" s="38">
        <v>75</v>
      </c>
      <c r="C191" s="35"/>
      <c r="D191" s="42"/>
      <c r="E191" s="43"/>
    </row>
    <row r="192" spans="1:5" x14ac:dyDescent="0.25">
      <c r="A192" s="37" t="s">
        <v>94</v>
      </c>
      <c r="B192" s="38">
        <v>20</v>
      </c>
      <c r="C192" s="37"/>
      <c r="D192" s="34"/>
      <c r="E192" s="44"/>
    </row>
    <row r="193" spans="1:5" ht="16.5" thickBot="1" x14ac:dyDescent="0.3">
      <c r="A193" s="39" t="s">
        <v>95</v>
      </c>
      <c r="B193" s="40">
        <v>55</v>
      </c>
      <c r="C193" s="39"/>
      <c r="D193" s="45"/>
      <c r="E193" s="46"/>
    </row>
    <row r="194" spans="1:5" x14ac:dyDescent="0.25">
      <c r="A194" s="35" t="s">
        <v>88</v>
      </c>
      <c r="B194" s="36" t="s">
        <v>33</v>
      </c>
      <c r="C194" s="24"/>
      <c r="D194" s="24"/>
      <c r="E194" s="25"/>
    </row>
    <row r="195" spans="1:5" x14ac:dyDescent="0.25">
      <c r="A195" s="37" t="s">
        <v>91</v>
      </c>
      <c r="B195" s="38" t="s">
        <v>87</v>
      </c>
      <c r="C195" s="26"/>
      <c r="D195" s="26"/>
      <c r="E195" s="27"/>
    </row>
    <row r="196" spans="1:5" ht="16.5" thickBot="1" x14ac:dyDescent="0.3">
      <c r="A196" s="37" t="s">
        <v>96</v>
      </c>
      <c r="B196" s="38" t="s">
        <v>26</v>
      </c>
      <c r="C196" s="28"/>
      <c r="D196" s="28"/>
      <c r="E196" s="29"/>
    </row>
    <row r="197" spans="1:5" x14ac:dyDescent="0.25">
      <c r="A197" s="37" t="s">
        <v>93</v>
      </c>
      <c r="B197" s="38">
        <v>75</v>
      </c>
      <c r="C197" s="35"/>
      <c r="D197" s="42"/>
      <c r="E197" s="43"/>
    </row>
    <row r="198" spans="1:5" x14ac:dyDescent="0.25">
      <c r="A198" s="37" t="s">
        <v>94</v>
      </c>
      <c r="B198" s="38">
        <v>20</v>
      </c>
      <c r="C198" s="37"/>
      <c r="D198" s="34"/>
      <c r="E198" s="44"/>
    </row>
    <row r="199" spans="1:5" ht="16.5" thickBot="1" x14ac:dyDescent="0.3">
      <c r="A199" s="39" t="s">
        <v>95</v>
      </c>
      <c r="B199" s="40">
        <v>55</v>
      </c>
      <c r="C199" s="39"/>
      <c r="D199" s="45"/>
      <c r="E199" s="4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</vt:lpstr>
      <vt:lpstr>Sheet1</vt:lpstr>
      <vt:lpstr>AIA</vt:lpstr>
      <vt:lpstr>ANSI</vt:lpstr>
      <vt:lpstr>ECMA</vt:lpstr>
      <vt:lpstr>HDF</vt:lpstr>
      <vt:lpstr>ISA</vt:lpstr>
      <vt:lpstr>ISO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Sapp (US), Brandon</cp:lastModifiedBy>
  <dcterms:created xsi:type="dcterms:W3CDTF">2019-03-22T04:06:51Z</dcterms:created>
  <dcterms:modified xsi:type="dcterms:W3CDTF">2019-03-23T02:46:47Z</dcterms:modified>
</cp:coreProperties>
</file>
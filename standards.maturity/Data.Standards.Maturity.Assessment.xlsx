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bus4005\Desktop\maturity.assessment\"/>
    </mc:Choice>
  </mc:AlternateContent>
  <bookViews>
    <workbookView xWindow="0" yWindow="465" windowWidth="33600" windowHeight="19695" activeTab="1"/>
  </bookViews>
  <sheets>
    <sheet name="Summary4Reporting" sheetId="11" r:id="rId1"/>
    <sheet name="Main" sheetId="1" r:id="rId2"/>
    <sheet name="A4A" sheetId="14" r:id="rId3"/>
    <sheet name="AIA" sheetId="2" r:id="rId4"/>
    <sheet name="ANSI" sheetId="3" r:id="rId5"/>
    <sheet name="ECMA" sheetId="4" r:id="rId6"/>
    <sheet name="HDF" sheetId="5" r:id="rId7"/>
    <sheet name="ISA" sheetId="6" r:id="rId8"/>
    <sheet name="ISO" sheetId="7" r:id="rId9"/>
    <sheet name="Modelica" sheetId="9" r:id="rId10"/>
    <sheet name="OAGi" sheetId="13" r:id="rId11"/>
    <sheet name="OMG" sheetId="12" r:id="rId12"/>
  </sheets>
  <externalReferences>
    <externalReference r:id="rId13"/>
  </externalReferences>
  <definedNames>
    <definedName name="LOTAR_Symbol">#REF!</definedName>
    <definedName name="TEST_RESULT_VALUE">#REF!</definedName>
  </definedName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BT3" i="1" l="1"/>
  <c r="BU3" i="1"/>
  <c r="BS3" i="1"/>
  <c r="BQ3" i="1"/>
  <c r="BR3" i="1"/>
  <c r="BP3" i="1"/>
  <c r="BK3" i="1"/>
  <c r="BL3" i="1"/>
  <c r="BJ3" i="1"/>
  <c r="BU30" i="1"/>
  <c r="BT30" i="1"/>
  <c r="BS30" i="1"/>
  <c r="BU24" i="1"/>
  <c r="BT24" i="1"/>
  <c r="BS24" i="1"/>
  <c r="BU23" i="1"/>
  <c r="BT23" i="1"/>
  <c r="BS23" i="1"/>
  <c r="BR30" i="1"/>
  <c r="BQ30" i="1"/>
  <c r="BP30" i="1"/>
  <c r="BL24" i="1"/>
  <c r="BK24" i="1"/>
  <c r="BJ24" i="1"/>
  <c r="BK18" i="1"/>
  <c r="BL18" i="1"/>
  <c r="BJ18" i="1"/>
  <c r="M31" i="11"/>
  <c r="N31" i="11"/>
  <c r="L31" i="11"/>
  <c r="M30" i="11"/>
  <c r="N30" i="11"/>
  <c r="L30" i="11"/>
  <c r="K35" i="11"/>
  <c r="K34" i="11"/>
  <c r="K33" i="11"/>
  <c r="K32" i="11"/>
  <c r="K29" i="11"/>
  <c r="K28" i="11"/>
  <c r="K27" i="11"/>
  <c r="K13" i="11"/>
  <c r="K12" i="11"/>
  <c r="CJ15" i="1"/>
  <c r="CI15" i="1"/>
  <c r="CH15" i="1"/>
  <c r="CJ14" i="1"/>
  <c r="CI14" i="1"/>
  <c r="CH14" i="1"/>
  <c r="CJ12" i="1"/>
  <c r="CI12" i="1"/>
  <c r="CH12" i="1"/>
  <c r="CJ11" i="1"/>
  <c r="CI11" i="1"/>
  <c r="CH11" i="1"/>
  <c r="CJ10" i="1"/>
  <c r="CI10" i="1"/>
  <c r="CH10" i="1"/>
  <c r="CG25" i="1"/>
  <c r="CG3" i="1" s="1"/>
  <c r="N12" i="11" s="1"/>
  <c r="CF25" i="1"/>
  <c r="CF3" i="1" s="1"/>
  <c r="M12" i="11" s="1"/>
  <c r="CE25" i="1"/>
  <c r="CE3" i="1" s="1"/>
  <c r="L12" i="11" s="1"/>
  <c r="BX26" i="1"/>
  <c r="BW26" i="1"/>
  <c r="BV26" i="1"/>
  <c r="BX23" i="1"/>
  <c r="BW23" i="1"/>
  <c r="BV23" i="1"/>
  <c r="BX16" i="1"/>
  <c r="BW16" i="1"/>
  <c r="BV16" i="1"/>
  <c r="K39" i="11"/>
  <c r="K38" i="11"/>
  <c r="K37" i="11"/>
  <c r="K36" i="11"/>
  <c r="K31" i="11"/>
  <c r="K30" i="11"/>
  <c r="K10" i="11"/>
  <c r="BO30" i="1"/>
  <c r="BN30" i="1"/>
  <c r="BM30" i="1"/>
  <c r="BO24" i="1"/>
  <c r="BN24" i="1"/>
  <c r="BM24" i="1"/>
  <c r="BO23" i="1"/>
  <c r="BN23" i="1"/>
  <c r="BM23" i="1"/>
  <c r="B25" i="1" l="1"/>
  <c r="D25" i="1"/>
  <c r="C25" i="1"/>
  <c r="CI3" i="1"/>
  <c r="M13" i="11" s="1"/>
  <c r="CH3" i="1"/>
  <c r="L13" i="11" s="1"/>
  <c r="CJ3" i="1"/>
  <c r="N13" i="11" s="1"/>
  <c r="BW3" i="1"/>
  <c r="BV3" i="1"/>
  <c r="L11" i="11" s="1"/>
  <c r="BM3" i="1"/>
  <c r="L10" i="11" s="1"/>
  <c r="BX3" i="1"/>
  <c r="N11" i="11" s="1"/>
  <c r="BN3" i="1"/>
  <c r="M10" i="11" s="1"/>
  <c r="BO3" i="1"/>
  <c r="N10" i="11" s="1"/>
  <c r="D157" i="7"/>
  <c r="C157" i="7"/>
  <c r="D156" i="7"/>
  <c r="C156" i="7"/>
  <c r="D155" i="7"/>
  <c r="C155" i="7"/>
  <c r="M11" i="11" l="1"/>
  <c r="B157" i="7"/>
  <c r="AZ16" i="1" s="1"/>
  <c r="B156" i="7" l="1"/>
  <c r="AY16" i="1" s="1"/>
  <c r="B138" i="7"/>
  <c r="B139" i="7"/>
  <c r="B137" i="7"/>
  <c r="K15" i="11"/>
  <c r="K14" i="11"/>
  <c r="CS14" i="1" l="1"/>
  <c r="CR14" i="1"/>
  <c r="CQ14" i="1"/>
  <c r="CS12" i="1"/>
  <c r="CR12" i="1"/>
  <c r="CQ12" i="1"/>
  <c r="CS11" i="1"/>
  <c r="CR11" i="1"/>
  <c r="CQ11" i="1"/>
  <c r="CS10" i="1"/>
  <c r="CR10" i="1"/>
  <c r="CQ10" i="1"/>
  <c r="CP5" i="1"/>
  <c r="CP3" i="1" s="1"/>
  <c r="N15" i="11" s="1"/>
  <c r="CO5" i="1"/>
  <c r="CO3" i="1" s="1"/>
  <c r="M15" i="11" s="1"/>
  <c r="CN5" i="1"/>
  <c r="CN3" i="1" s="1"/>
  <c r="L15" i="11" s="1"/>
  <c r="CD14" i="1"/>
  <c r="CC14" i="1"/>
  <c r="CB14" i="1"/>
  <c r="CD12" i="1"/>
  <c r="CC12" i="1"/>
  <c r="CB12" i="1"/>
  <c r="CD11" i="1"/>
  <c r="CC11" i="1"/>
  <c r="CB11" i="1"/>
  <c r="CD10" i="1"/>
  <c r="CC10" i="1"/>
  <c r="CB10" i="1"/>
  <c r="BC14" i="1"/>
  <c r="BC3" i="1" s="1"/>
  <c r="N25" i="11" s="1"/>
  <c r="BB14" i="1"/>
  <c r="BB3" i="1" s="1"/>
  <c r="M25" i="11" s="1"/>
  <c r="BA14" i="1"/>
  <c r="BA3" i="1" s="1"/>
  <c r="L25" i="11" s="1"/>
  <c r="BI24" i="1"/>
  <c r="BH24" i="1"/>
  <c r="BG24" i="1"/>
  <c r="BI23" i="1"/>
  <c r="BH23" i="1"/>
  <c r="BG23" i="1"/>
  <c r="BI18" i="1"/>
  <c r="BH18" i="1"/>
  <c r="BG18" i="1"/>
  <c r="F23" i="11"/>
  <c r="E23" i="11"/>
  <c r="D23" i="11"/>
  <c r="K9" i="11"/>
  <c r="K26" i="11"/>
  <c r="K25" i="11"/>
  <c r="K8" i="11"/>
  <c r="K7" i="11"/>
  <c r="K6" i="11"/>
  <c r="K5" i="11"/>
  <c r="K24" i="11"/>
  <c r="K23" i="11"/>
  <c r="K22" i="11"/>
  <c r="K21" i="11"/>
  <c r="K20" i="11"/>
  <c r="K19" i="11"/>
  <c r="K18" i="11"/>
  <c r="K4" i="11"/>
  <c r="F4" i="11"/>
  <c r="E4" i="11"/>
  <c r="D4" i="11"/>
  <c r="K3" i="11"/>
  <c r="CQ3" i="1" l="1"/>
  <c r="L14" i="11" s="1"/>
  <c r="CR3" i="1"/>
  <c r="M14" i="11" s="1"/>
  <c r="CS3" i="1"/>
  <c r="N14" i="11" s="1"/>
  <c r="CB3" i="1"/>
  <c r="CC3" i="1"/>
  <c r="CD3" i="1"/>
  <c r="BF30" i="1"/>
  <c r="BE30" i="1"/>
  <c r="BD30" i="1"/>
  <c r="BF15" i="1"/>
  <c r="BE15" i="1"/>
  <c r="BD15" i="1"/>
  <c r="BH3" i="1"/>
  <c r="M9" i="11" s="1"/>
  <c r="BI3" i="1"/>
  <c r="N9" i="11" s="1"/>
  <c r="BG3" i="1"/>
  <c r="L9" i="11" s="1"/>
  <c r="B133" i="7"/>
  <c r="B132" i="7"/>
  <c r="B131" i="7"/>
  <c r="BF3" i="1" l="1"/>
  <c r="N26" i="11" s="1"/>
  <c r="BE3" i="1"/>
  <c r="M26" i="11" s="1"/>
  <c r="BD3" i="1"/>
  <c r="L26" i="11" s="1"/>
  <c r="CA14" i="1" l="1"/>
  <c r="D14" i="1" s="1"/>
  <c r="F12" i="11" s="1"/>
  <c r="BZ14" i="1"/>
  <c r="C14" i="1" s="1"/>
  <c r="E12" i="11" s="1"/>
  <c r="BY14" i="1"/>
  <c r="B14" i="1" s="1"/>
  <c r="D12" i="11" s="1"/>
  <c r="CA12" i="1"/>
  <c r="BZ12" i="1"/>
  <c r="BY12" i="1"/>
  <c r="CA11" i="1"/>
  <c r="BZ11" i="1"/>
  <c r="BY11" i="1"/>
  <c r="CA10" i="1"/>
  <c r="BZ10" i="1"/>
  <c r="BY10" i="1"/>
  <c r="BY3" i="1" l="1"/>
  <c r="BZ3" i="1"/>
  <c r="CA3" i="1"/>
  <c r="AW22" i="1"/>
  <c r="AV22" i="1"/>
  <c r="AU22" i="1"/>
  <c r="AW21" i="1"/>
  <c r="AV21" i="1"/>
  <c r="AU21" i="1"/>
  <c r="AW20" i="1"/>
  <c r="AV20" i="1"/>
  <c r="AU20" i="1"/>
  <c r="AW19" i="1"/>
  <c r="AV19" i="1"/>
  <c r="AU19" i="1"/>
  <c r="AW15" i="1"/>
  <c r="AV15" i="1"/>
  <c r="AU15" i="1"/>
  <c r="AW10" i="1"/>
  <c r="AV10" i="1"/>
  <c r="AU10" i="1"/>
  <c r="AW9" i="1"/>
  <c r="AV9" i="1"/>
  <c r="AU9" i="1"/>
  <c r="AW8" i="1"/>
  <c r="AV8" i="1"/>
  <c r="AU8" i="1"/>
  <c r="AW7" i="1"/>
  <c r="AV7" i="1"/>
  <c r="AU7" i="1"/>
  <c r="AU3" i="1" l="1"/>
  <c r="L7" i="11" s="1"/>
  <c r="AV3" i="1"/>
  <c r="M7" i="11" s="1"/>
  <c r="AW3" i="1"/>
  <c r="N7" i="11" s="1"/>
  <c r="AT26" i="1"/>
  <c r="AT3" i="1" s="1"/>
  <c r="N6" i="11" s="1"/>
  <c r="AS26" i="1"/>
  <c r="AS3" i="1" s="1"/>
  <c r="M6" i="11" s="1"/>
  <c r="AR26" i="1"/>
  <c r="AR3" i="1" s="1"/>
  <c r="L6" i="11" s="1"/>
  <c r="AQ12" i="1"/>
  <c r="D12" i="1" s="1"/>
  <c r="F10" i="11" s="1"/>
  <c r="AP12" i="1"/>
  <c r="C12" i="1" s="1"/>
  <c r="E10" i="11" s="1"/>
  <c r="AO12" i="1"/>
  <c r="B12" i="1" s="1"/>
  <c r="D10" i="11" s="1"/>
  <c r="AQ11" i="1"/>
  <c r="D11" i="1" s="1"/>
  <c r="F9" i="11" s="1"/>
  <c r="AP11" i="1"/>
  <c r="C11" i="1" s="1"/>
  <c r="E9" i="11" s="1"/>
  <c r="AO11" i="1"/>
  <c r="B11" i="1" s="1"/>
  <c r="D9" i="11" s="1"/>
  <c r="AQ10" i="1"/>
  <c r="D10" i="1" s="1"/>
  <c r="F8" i="11" s="1"/>
  <c r="AP10" i="1"/>
  <c r="C10" i="1" s="1"/>
  <c r="E8" i="11" s="1"/>
  <c r="AO10" i="1"/>
  <c r="B10" i="1" s="1"/>
  <c r="D8" i="11" s="1"/>
  <c r="AQ5" i="1"/>
  <c r="AP5" i="1"/>
  <c r="AO5" i="1"/>
  <c r="AN20" i="1"/>
  <c r="AM20" i="1"/>
  <c r="AL20" i="1"/>
  <c r="AN19" i="1"/>
  <c r="AM19" i="1"/>
  <c r="AL19" i="1"/>
  <c r="AN15" i="1"/>
  <c r="AM15" i="1"/>
  <c r="AL15" i="1"/>
  <c r="AK13" i="1"/>
  <c r="AK3" i="1" s="1"/>
  <c r="N23" i="11" s="1"/>
  <c r="AJ13" i="1"/>
  <c r="AJ3" i="1" s="1"/>
  <c r="M23" i="11" s="1"/>
  <c r="AI13" i="1"/>
  <c r="AI3" i="1" s="1"/>
  <c r="L23" i="11" s="1"/>
  <c r="AH29" i="1"/>
  <c r="AG29" i="1"/>
  <c r="AF29" i="1"/>
  <c r="AH28" i="1"/>
  <c r="AG28" i="1"/>
  <c r="AF28" i="1"/>
  <c r="AH26" i="1"/>
  <c r="AG26" i="1"/>
  <c r="AF26" i="1"/>
  <c r="AZ30" i="1"/>
  <c r="D30" i="1" s="1"/>
  <c r="F28" i="11" s="1"/>
  <c r="AY30" i="1"/>
  <c r="C30" i="1" s="1"/>
  <c r="E28" i="11" s="1"/>
  <c r="AX30" i="1"/>
  <c r="B30" i="1" s="1"/>
  <c r="D28" i="11" s="1"/>
  <c r="AZ24" i="1"/>
  <c r="AY24" i="1"/>
  <c r="AX24" i="1"/>
  <c r="AZ23" i="1"/>
  <c r="AY23" i="1"/>
  <c r="AX23" i="1"/>
  <c r="AZ22" i="1"/>
  <c r="D22" i="1" s="1"/>
  <c r="F20" i="11" s="1"/>
  <c r="AY22" i="1"/>
  <c r="C22" i="1" s="1"/>
  <c r="E20" i="11" s="1"/>
  <c r="AX22" i="1"/>
  <c r="B22" i="1" s="1"/>
  <c r="D20" i="11" s="1"/>
  <c r="AZ21" i="1"/>
  <c r="D21" i="1" s="1"/>
  <c r="F19" i="11" s="1"/>
  <c r="AY21" i="1"/>
  <c r="C21" i="1" s="1"/>
  <c r="E19" i="11" s="1"/>
  <c r="AX21" i="1"/>
  <c r="B21" i="1" s="1"/>
  <c r="D19" i="11" s="1"/>
  <c r="AZ18" i="1"/>
  <c r="D18" i="1" s="1"/>
  <c r="F16" i="11" s="1"/>
  <c r="AY18" i="1"/>
  <c r="C18" i="1" s="1"/>
  <c r="E16" i="11" s="1"/>
  <c r="AX18" i="1"/>
  <c r="B18" i="1" s="1"/>
  <c r="D16" i="11" s="1"/>
  <c r="AZ17" i="1"/>
  <c r="AY17" i="1"/>
  <c r="AX17" i="1"/>
  <c r="AZ15" i="1"/>
  <c r="AY15" i="1"/>
  <c r="AX15" i="1"/>
  <c r="AZ9" i="1"/>
  <c r="D9" i="1" s="1"/>
  <c r="F7" i="11" s="1"/>
  <c r="AY9" i="1"/>
  <c r="C9" i="1" s="1"/>
  <c r="E7" i="11" s="1"/>
  <c r="AX9" i="1"/>
  <c r="B9" i="1" s="1"/>
  <c r="D7" i="11" s="1"/>
  <c r="AZ8" i="1"/>
  <c r="D8" i="1" s="1"/>
  <c r="F6" i="11" s="1"/>
  <c r="AY8" i="1"/>
  <c r="C8" i="1" s="1"/>
  <c r="E6" i="11" s="1"/>
  <c r="AX8" i="1"/>
  <c r="B8" i="1" s="1"/>
  <c r="D6" i="11" s="1"/>
  <c r="AZ7" i="1"/>
  <c r="AY7" i="1"/>
  <c r="AX7" i="1"/>
  <c r="AE29" i="1"/>
  <c r="Y24" i="1"/>
  <c r="X24" i="1"/>
  <c r="W24" i="1"/>
  <c r="Y23" i="1"/>
  <c r="X23" i="1"/>
  <c r="W23" i="1"/>
  <c r="AD29" i="1"/>
  <c r="AC29" i="1"/>
  <c r="AE28" i="1"/>
  <c r="AD28" i="1"/>
  <c r="AC28" i="1"/>
  <c r="W3" i="1" l="1"/>
  <c r="L19" i="11" s="1"/>
  <c r="AD3" i="1"/>
  <c r="M21" i="11" s="1"/>
  <c r="AC3" i="1"/>
  <c r="L21" i="11" s="1"/>
  <c r="AM3" i="1"/>
  <c r="M24" i="11" s="1"/>
  <c r="AE3" i="1"/>
  <c r="N21" i="11" s="1"/>
  <c r="AN3" i="1"/>
  <c r="N24" i="11" s="1"/>
  <c r="B24" i="1"/>
  <c r="D22" i="11" s="1"/>
  <c r="C7" i="1"/>
  <c r="E5" i="11" s="1"/>
  <c r="AY3" i="1"/>
  <c r="M8" i="11" s="1"/>
  <c r="C5" i="1"/>
  <c r="E3" i="11" s="1"/>
  <c r="AP3" i="1"/>
  <c r="M5" i="11" s="1"/>
  <c r="B5" i="1"/>
  <c r="D3" i="11" s="1"/>
  <c r="AO3" i="1"/>
  <c r="L5" i="11" s="1"/>
  <c r="D5" i="1"/>
  <c r="F3" i="11" s="1"/>
  <c r="AQ3" i="1"/>
  <c r="N5" i="11" s="1"/>
  <c r="B26" i="1"/>
  <c r="D24" i="11" s="1"/>
  <c r="AF3" i="1"/>
  <c r="L22" i="11" s="1"/>
  <c r="C26" i="1"/>
  <c r="E24" i="11" s="1"/>
  <c r="AG3" i="1"/>
  <c r="M22" i="11" s="1"/>
  <c r="AH3" i="1"/>
  <c r="N22" i="11" s="1"/>
  <c r="C23" i="1"/>
  <c r="E21" i="11" s="1"/>
  <c r="X3" i="1"/>
  <c r="M19" i="11" s="1"/>
  <c r="D23" i="1"/>
  <c r="F21" i="11" s="1"/>
  <c r="Y3" i="1"/>
  <c r="N19" i="11" s="1"/>
  <c r="D7" i="1"/>
  <c r="F5" i="11" s="1"/>
  <c r="AZ3" i="1"/>
  <c r="N8" i="11" s="1"/>
  <c r="B7" i="1"/>
  <c r="D5" i="11" s="1"/>
  <c r="AL3" i="1"/>
  <c r="L24" i="11" s="1"/>
  <c r="C24" i="1"/>
  <c r="E22" i="11" s="1"/>
  <c r="D26" i="1"/>
  <c r="F24" i="11" s="1"/>
  <c r="D24" i="1"/>
  <c r="F22" i="11" s="1"/>
  <c r="B29" i="1"/>
  <c r="D27" i="11" s="1"/>
  <c r="D29" i="1"/>
  <c r="F27" i="11" s="1"/>
  <c r="C29" i="1"/>
  <c r="E27" i="11" s="1"/>
  <c r="B23" i="1"/>
  <c r="D21" i="11" s="1"/>
  <c r="AB13" i="1"/>
  <c r="AB3" i="1" s="1"/>
  <c r="N20" i="11" s="1"/>
  <c r="AA13" i="1"/>
  <c r="AA3" i="1" s="1"/>
  <c r="M20" i="11" s="1"/>
  <c r="Z13" i="1"/>
  <c r="Z3" i="1" s="1"/>
  <c r="L20" i="11" s="1"/>
  <c r="P15" i="1"/>
  <c r="V28" i="1"/>
  <c r="D28" i="1" s="1"/>
  <c r="F26" i="11" s="1"/>
  <c r="U28" i="1"/>
  <c r="C28" i="1" s="1"/>
  <c r="E26" i="11" s="1"/>
  <c r="T28" i="1"/>
  <c r="B28" i="1" s="1"/>
  <c r="D26" i="11" s="1"/>
  <c r="V27" i="1"/>
  <c r="U27" i="1"/>
  <c r="T27" i="1"/>
  <c r="S20" i="1"/>
  <c r="D20" i="1" s="1"/>
  <c r="F18" i="11" s="1"/>
  <c r="R20" i="1"/>
  <c r="C20" i="1" s="1"/>
  <c r="E18" i="11" s="1"/>
  <c r="Q20" i="1"/>
  <c r="B20" i="1" s="1"/>
  <c r="D18" i="11" s="1"/>
  <c r="S19" i="1"/>
  <c r="D19" i="1" s="1"/>
  <c r="F17" i="11" s="1"/>
  <c r="R19" i="1"/>
  <c r="C19" i="1" s="1"/>
  <c r="E17" i="11" s="1"/>
  <c r="Q19" i="1"/>
  <c r="B19" i="1" s="1"/>
  <c r="D17" i="11" s="1"/>
  <c r="S17" i="1"/>
  <c r="D17" i="1" s="1"/>
  <c r="F15" i="11" s="1"/>
  <c r="R17" i="1"/>
  <c r="C17" i="1" s="1"/>
  <c r="E15" i="11" s="1"/>
  <c r="Q17" i="1"/>
  <c r="B17" i="1" s="1"/>
  <c r="D15" i="11" s="1"/>
  <c r="S16" i="1"/>
  <c r="D16" i="1" s="1"/>
  <c r="F14" i="11" s="1"/>
  <c r="R16" i="1"/>
  <c r="C16" i="1" s="1"/>
  <c r="E14" i="11" s="1"/>
  <c r="Q16" i="1"/>
  <c r="S13" i="1"/>
  <c r="R13" i="1"/>
  <c r="Q13" i="1"/>
  <c r="C27" i="1" l="1"/>
  <c r="E25" i="11" s="1"/>
  <c r="U3" i="1"/>
  <c r="M18" i="11" s="1"/>
  <c r="B13" i="1"/>
  <c r="D11" i="11" s="1"/>
  <c r="Q3" i="1"/>
  <c r="L4" i="11" s="1"/>
  <c r="D27" i="1"/>
  <c r="F25" i="11" s="1"/>
  <c r="V3" i="1"/>
  <c r="N18" i="11" s="1"/>
  <c r="D15" i="1"/>
  <c r="F13" i="11" s="1"/>
  <c r="P3" i="1"/>
  <c r="N3" i="11" s="1"/>
  <c r="S3" i="1"/>
  <c r="N4" i="11" s="1"/>
  <c r="B27" i="1"/>
  <c r="D25" i="11" s="1"/>
  <c r="T3" i="1"/>
  <c r="L18" i="11" s="1"/>
  <c r="R3" i="1"/>
  <c r="M4" i="11" s="1"/>
  <c r="C13" i="1"/>
  <c r="E11" i="11" s="1"/>
  <c r="D13" i="1"/>
  <c r="F11" i="11" s="1"/>
  <c r="O15" i="1"/>
  <c r="N15" i="1"/>
  <c r="C15" i="1" l="1"/>
  <c r="E13" i="11" s="1"/>
  <c r="O3" i="1"/>
  <c r="M3" i="11" s="1"/>
  <c r="B15" i="1"/>
  <c r="D13" i="11" s="1"/>
  <c r="N3" i="1"/>
  <c r="L3" i="11" s="1"/>
  <c r="B155" i="7" l="1"/>
  <c r="AX16" i="1" s="1"/>
  <c r="AX3" i="1" s="1"/>
  <c r="L8" i="11" s="1"/>
  <c r="B16" i="1" l="1"/>
  <c r="D14" i="11" s="1"/>
</calcChain>
</file>

<file path=xl/comments1.xml><?xml version="1.0" encoding="utf-8"?>
<comments xmlns="http://schemas.openxmlformats.org/spreadsheetml/2006/main">
  <authors>
    <author>Sapp (US), Brandon</author>
  </authors>
  <commentList>
    <comment ref="E1" authorId="0" shapeId="0">
      <text>
        <r>
          <rPr>
            <b/>
            <sz val="9"/>
            <color indexed="81"/>
            <rFont val="Tahoma"/>
            <family val="2"/>
          </rPr>
          <t>Sapp (US), Brandon:</t>
        </r>
        <r>
          <rPr>
            <sz val="9"/>
            <color indexed="81"/>
            <rFont val="Tahoma"/>
            <family val="2"/>
          </rPr>
          <t xml:space="preserve">
Airlines 4 America [formally ATA]
</t>
        </r>
      </text>
    </comment>
    <comment ref="BS2" authorId="0" shapeId="0">
      <text>
        <r>
          <rPr>
            <b/>
            <sz val="9"/>
            <color indexed="81"/>
            <rFont val="Tahoma"/>
            <family val="2"/>
          </rPr>
          <t>Sapp (US), Brandon: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<sst xmlns="http://schemas.openxmlformats.org/spreadsheetml/2006/main" count="1220" uniqueCount="128">
  <si>
    <t>Functional Focus Areas</t>
  </si>
  <si>
    <t>Product Requirements</t>
  </si>
  <si>
    <t>Customer Configuraiton</t>
  </si>
  <si>
    <t>Engineering Product Structure</t>
  </si>
  <si>
    <t>Change Management</t>
  </si>
  <si>
    <t>Scheduling</t>
  </si>
  <si>
    <t>Functional Architecture</t>
  </si>
  <si>
    <t>ICD Documentation</t>
  </si>
  <si>
    <t>Logical Design</t>
  </si>
  <si>
    <t>Vehicle Level Analysis, Test, and Cert</t>
  </si>
  <si>
    <t>Simulation</t>
  </si>
  <si>
    <t>Electrical Design</t>
  </si>
  <si>
    <t>CAD Authoring</t>
  </si>
  <si>
    <t>CAD Storage</t>
  </si>
  <si>
    <t>Spatial Integration</t>
  </si>
  <si>
    <t>EBOM</t>
  </si>
  <si>
    <t>EBOM (Electrical)</t>
  </si>
  <si>
    <t>MBOM</t>
  </si>
  <si>
    <t>Plan Authoring (IP)</t>
  </si>
  <si>
    <t>PDD Distribution</t>
  </si>
  <si>
    <t>Shop Floor Viewing</t>
  </si>
  <si>
    <t>Inventory Management</t>
  </si>
  <si>
    <t>Factory Digital Thread &amp; Automation</t>
  </si>
  <si>
    <t>Shop Floor Info (ADPP)</t>
  </si>
  <si>
    <t>Non-Conformance</t>
  </si>
  <si>
    <t>Plan Delivery (IP)</t>
  </si>
  <si>
    <t>Support Viewing</t>
  </si>
  <si>
    <t>ReqIF</t>
  </si>
  <si>
    <t>CSOS</t>
  </si>
  <si>
    <t>Options</t>
  </si>
  <si>
    <t>Catalog</t>
  </si>
  <si>
    <t>Config Specs</t>
  </si>
  <si>
    <t>ISO 10303-239</t>
  </si>
  <si>
    <t>ISO 10303-242</t>
  </si>
  <si>
    <t>SysML</t>
  </si>
  <si>
    <t>UML</t>
  </si>
  <si>
    <t>UPDM</t>
  </si>
  <si>
    <t>XMI</t>
  </si>
  <si>
    <t>OSLC</t>
  </si>
  <si>
    <t>FMI</t>
  </si>
  <si>
    <t>OWL</t>
  </si>
  <si>
    <t>Modelica</t>
  </si>
  <si>
    <t>ISO 10303-233</t>
  </si>
  <si>
    <t>Test and Lab Data</t>
  </si>
  <si>
    <t>Stress Notes</t>
  </si>
  <si>
    <t>ESV</t>
  </si>
  <si>
    <t>HDF5</t>
  </si>
  <si>
    <t>SVG</t>
  </si>
  <si>
    <t>S1000D</t>
  </si>
  <si>
    <t>FT</t>
  </si>
  <si>
    <t>XML</t>
  </si>
  <si>
    <t>OAGIS BODs</t>
  </si>
  <si>
    <t>EBXML</t>
  </si>
  <si>
    <t>OPC-UA</t>
  </si>
  <si>
    <t>QIF</t>
  </si>
  <si>
    <t>ISA 95</t>
  </si>
  <si>
    <t>X</t>
  </si>
  <si>
    <t>ISO 10303-232</t>
  </si>
  <si>
    <t>ANSI</t>
  </si>
  <si>
    <t>LOTAR</t>
  </si>
  <si>
    <t>ISO Standard</t>
  </si>
  <si>
    <t>OMG Standards</t>
  </si>
  <si>
    <t>W3C Standards</t>
  </si>
  <si>
    <t>ISO 10303-209</t>
  </si>
  <si>
    <t>ISO/IEC 8632 [CGM]</t>
  </si>
  <si>
    <t>ECMA-363 [U3D]</t>
  </si>
  <si>
    <t>ECMA</t>
  </si>
  <si>
    <t>ISO 14306 [JT]</t>
  </si>
  <si>
    <t>ISO 10303-238</t>
  </si>
  <si>
    <t>AIA</t>
  </si>
  <si>
    <t>HDF</t>
  </si>
  <si>
    <t>OAGi</t>
  </si>
  <si>
    <t>IEC/ISO 62264 [B2MML]</t>
  </si>
  <si>
    <t>ISA</t>
  </si>
  <si>
    <t>ISO/IEC 10918 [JPEG]</t>
  </si>
  <si>
    <t>ISO/ASTM 52915 [AMF]</t>
  </si>
  <si>
    <t>OPC</t>
  </si>
  <si>
    <t>OMG</t>
  </si>
  <si>
    <t>David Odendahl</t>
  </si>
  <si>
    <t>Rick Zuray</t>
  </si>
  <si>
    <t>Joe Draper</t>
  </si>
  <si>
    <t>Mark Williams</t>
  </si>
  <si>
    <t>Tom Bluhm</t>
  </si>
  <si>
    <t>Data Standard</t>
  </si>
  <si>
    <t>S100D</t>
  </si>
  <si>
    <t>Standards Body</t>
  </si>
  <si>
    <t>Technical SME</t>
  </si>
  <si>
    <t>XXX</t>
  </si>
  <si>
    <t>Standard Maturity</t>
  </si>
  <si>
    <t>Boeing Business Capability Maturity</t>
  </si>
  <si>
    <t>Industry Maturity</t>
  </si>
  <si>
    <t>Business Functional Area</t>
  </si>
  <si>
    <t>Rich Zuray</t>
  </si>
  <si>
    <t>Shop Floor</t>
  </si>
  <si>
    <t>S</t>
  </si>
  <si>
    <t>B</t>
  </si>
  <si>
    <t>I</t>
  </si>
  <si>
    <t>Gaps</t>
  </si>
  <si>
    <t>Actions</t>
  </si>
  <si>
    <t>Risk</t>
  </si>
  <si>
    <t>U3D</t>
  </si>
  <si>
    <t>David Briggs</t>
  </si>
  <si>
    <t>ISO</t>
  </si>
  <si>
    <t>Boeing Proprietary/Non-Standard/Still in Analysis</t>
  </si>
  <si>
    <t>LOPA [Geometry 2D/3D]</t>
  </si>
  <si>
    <t>???</t>
  </si>
  <si>
    <t>ISO 10303-243</t>
  </si>
  <si>
    <t xml:space="preserve">ISO 10303-238
</t>
  </si>
  <si>
    <t>ISO 14739-1 [PRC]</t>
  </si>
  <si>
    <t>ISO 32000 [PDF]</t>
  </si>
  <si>
    <t>Quantity Met</t>
  </si>
  <si>
    <t>Total Req</t>
  </si>
  <si>
    <t>Jiwan Hayre</t>
  </si>
  <si>
    <t>??</t>
  </si>
  <si>
    <t>Russ Mahoney</t>
  </si>
  <si>
    <t>James Fadenrecht</t>
  </si>
  <si>
    <t>Traci Walters</t>
  </si>
  <si>
    <t>BCLT Director</t>
  </si>
  <si>
    <t>Team Leader</t>
  </si>
  <si>
    <t>Mike Vander Wel</t>
  </si>
  <si>
    <t>A4A</t>
  </si>
  <si>
    <t>ATA Spec 100</t>
  </si>
  <si>
    <t>ATA Spec 2100</t>
  </si>
  <si>
    <t>iSpec 2200</t>
  </si>
  <si>
    <t>Customer Configuration</t>
  </si>
  <si>
    <t>High Priority Standards</t>
  </si>
  <si>
    <t>General Standards</t>
  </si>
  <si>
    <t>ISO 12234-2 [TIFF]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</si>
</sst>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8" x14ac:knownFonts="1">
    <font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6"/>
      <color theme="0"/>
      <name val="Calibri"/>
      <family val="2"/>
      <scheme val="minor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00B050"/>
        <bgColor indexed="64"/>
      </patternFill>
    </fill>
  </fills>
  <borders count="7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/>
      <diagonal/>
    </border>
  </borders>
  <cellStyleXfs count="2">
    <xf numFmtId="0" fontId="0" fillId="0" borderId="0"/>
    <xf numFmtId="0" fontId="7" fillId="0" borderId="0"/>
  </cellStyleXfs>
  <cellXfs count="282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right" vertical="center"/>
    </xf>
    <xf numFmtId="0" fontId="0" fillId="0" borderId="0" xfId="0" applyAlignment="1">
      <alignment horizontal="center"/>
    </xf>
    <xf numFmtId="0" fontId="0" fillId="2" borderId="12" xfId="0" applyFill="1" applyBorder="1"/>
    <xf numFmtId="0" fontId="0" fillId="2" borderId="13" xfId="0" applyFill="1" applyBorder="1"/>
    <xf numFmtId="0" fontId="0" fillId="2" borderId="0" xfId="0" applyFill="1" applyBorder="1"/>
    <xf numFmtId="0" fontId="0" fillId="2" borderId="34" xfId="0" applyFill="1" applyBorder="1"/>
    <xf numFmtId="0" fontId="0" fillId="2" borderId="36" xfId="0" applyFill="1" applyBorder="1"/>
    <xf numFmtId="0" fontId="0" fillId="2" borderId="35" xfId="0" applyFill="1" applyBorder="1"/>
    <xf numFmtId="0" fontId="0" fillId="0" borderId="1" xfId="0" applyBorder="1"/>
    <xf numFmtId="0" fontId="0" fillId="0" borderId="20" xfId="0" applyBorder="1"/>
    <xf numFmtId="0" fontId="0" fillId="0" borderId="6" xfId="0" applyBorder="1"/>
    <xf numFmtId="0" fontId="0" fillId="0" borderId="5" xfId="0" applyFill="1" applyBorder="1" applyAlignment="1">
      <alignment horizontal="center"/>
    </xf>
    <xf numFmtId="0" fontId="0" fillId="0" borderId="7" xfId="0" applyBorder="1"/>
    <xf numFmtId="0" fontId="0" fillId="0" borderId="9" xfId="0" applyFill="1" applyBorder="1" applyAlignment="1">
      <alignment horizontal="center"/>
    </xf>
    <xf numFmtId="0" fontId="0" fillId="0" borderId="5" xfId="0" applyFill="1" applyBorder="1" applyAlignment="1">
      <alignment horizontal="center" vertical="center"/>
    </xf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8" xfId="0" applyBorder="1"/>
    <xf numFmtId="0" fontId="0" fillId="0" borderId="9" xfId="0" applyBorder="1"/>
    <xf numFmtId="0" fontId="0" fillId="0" borderId="18" xfId="0" applyFont="1" applyFill="1" applyBorder="1" applyAlignment="1">
      <alignment horizontal="center" vertical="center"/>
    </xf>
    <xf numFmtId="0" fontId="0" fillId="0" borderId="55" xfId="0" applyFont="1" applyFill="1" applyBorder="1" applyAlignment="1">
      <alignment horizontal="center" vertical="center"/>
    </xf>
    <xf numFmtId="0" fontId="0" fillId="0" borderId="54" xfId="0" applyFont="1" applyFill="1" applyBorder="1" applyAlignment="1">
      <alignment horizontal="center" vertical="center"/>
    </xf>
    <xf numFmtId="0" fontId="5" fillId="3" borderId="17" xfId="0" applyFont="1" applyFill="1" applyBorder="1" applyAlignment="1">
      <alignment horizontal="center" vertical="center"/>
    </xf>
    <xf numFmtId="0" fontId="5" fillId="3" borderId="18" xfId="0" applyFont="1" applyFill="1" applyBorder="1" applyAlignment="1">
      <alignment horizontal="center" vertical="center"/>
    </xf>
    <xf numFmtId="0" fontId="5" fillId="3" borderId="19" xfId="0" applyFont="1" applyFill="1" applyBorder="1" applyAlignment="1">
      <alignment horizontal="center" vertical="center"/>
    </xf>
    <xf numFmtId="0" fontId="0" fillId="0" borderId="0" xfId="0" applyAlignment="1">
      <alignment vertical="center" textRotation="90"/>
    </xf>
    <xf numFmtId="0" fontId="0" fillId="0" borderId="0" xfId="0" applyAlignment="1">
      <alignment vertical="center"/>
    </xf>
    <xf numFmtId="0" fontId="1" fillId="3" borderId="20" xfId="0" applyFont="1" applyFill="1" applyBorder="1"/>
    <xf numFmtId="0" fontId="1" fillId="3" borderId="4" xfId="0" applyFont="1" applyFill="1" applyBorder="1" applyAlignment="1">
      <alignment horizontal="center"/>
    </xf>
    <xf numFmtId="0" fontId="6" fillId="3" borderId="2" xfId="0" applyFont="1" applyFill="1" applyBorder="1"/>
    <xf numFmtId="0" fontId="6" fillId="3" borderId="13" xfId="0" applyFont="1" applyFill="1" applyBorder="1" applyAlignment="1">
      <alignment horizontal="center"/>
    </xf>
    <xf numFmtId="0" fontId="6" fillId="3" borderId="14" xfId="0" applyFont="1" applyFill="1" applyBorder="1"/>
    <xf numFmtId="0" fontId="6" fillId="3" borderId="15" xfId="0" applyFont="1" applyFill="1" applyBorder="1"/>
    <xf numFmtId="0" fontId="6" fillId="3" borderId="16" xfId="0" applyFont="1" applyFill="1" applyBorder="1"/>
    <xf numFmtId="0" fontId="5" fillId="3" borderId="20" xfId="0" applyFont="1" applyFill="1" applyBorder="1"/>
    <xf numFmtId="0" fontId="5" fillId="3" borderId="4" xfId="0" applyFont="1" applyFill="1" applyBorder="1" applyAlignment="1">
      <alignment horizontal="center"/>
    </xf>
    <xf numFmtId="0" fontId="0" fillId="0" borderId="42" xfId="0" applyFont="1" applyFill="1" applyBorder="1" applyAlignment="1">
      <alignment horizontal="center" vertical="center"/>
    </xf>
    <xf numFmtId="0" fontId="0" fillId="0" borderId="41" xfId="0" applyFont="1" applyFill="1" applyBorder="1" applyAlignment="1">
      <alignment horizontal="center" vertical="center"/>
    </xf>
    <xf numFmtId="0" fontId="6" fillId="3" borderId="12" xfId="0" applyFont="1" applyFill="1" applyBorder="1" applyAlignment="1">
      <alignment horizontal="center"/>
    </xf>
    <xf numFmtId="0" fontId="5" fillId="3" borderId="12" xfId="0" applyFont="1" applyFill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0" fillId="0" borderId="40" xfId="0" applyFill="1" applyBorder="1" applyAlignment="1">
      <alignment horizontal="center"/>
    </xf>
    <xf numFmtId="0" fontId="0" fillId="0" borderId="25" xfId="0" applyFill="1" applyBorder="1" applyAlignment="1">
      <alignment horizontal="center"/>
    </xf>
    <xf numFmtId="0" fontId="0" fillId="0" borderId="26" xfId="0" applyFill="1" applyBorder="1" applyAlignment="1">
      <alignment horizontal="center"/>
    </xf>
    <xf numFmtId="0" fontId="5" fillId="3" borderId="3" xfId="0" applyFont="1" applyFill="1" applyBorder="1" applyAlignment="1">
      <alignment horizontal="center" vertical="center"/>
    </xf>
    <xf numFmtId="0" fontId="5" fillId="3" borderId="4" xfId="0" applyFont="1" applyFill="1" applyBorder="1" applyAlignment="1">
      <alignment horizontal="center" vertical="center"/>
    </xf>
    <xf numFmtId="0" fontId="5" fillId="3" borderId="20" xfId="0" applyFont="1" applyFill="1" applyBorder="1" applyAlignment="1">
      <alignment horizontal="center" vertical="center"/>
    </xf>
    <xf numFmtId="0" fontId="5" fillId="3" borderId="60" xfId="0" applyFont="1" applyFill="1" applyBorder="1" applyAlignment="1">
      <alignment horizontal="center" vertical="center"/>
    </xf>
    <xf numFmtId="0" fontId="0" fillId="0" borderId="61" xfId="0" applyBorder="1"/>
    <xf numFmtId="0" fontId="0" fillId="0" borderId="62" xfId="0" applyBorder="1"/>
    <xf numFmtId="0" fontId="0" fillId="0" borderId="0" xfId="0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0" fontId="0" fillId="0" borderId="6" xfId="0" applyFill="1" applyBorder="1" applyAlignment="1">
      <alignment horizontal="center" vertical="center"/>
    </xf>
    <xf numFmtId="0" fontId="0" fillId="0" borderId="30" xfId="0" applyFill="1" applyBorder="1" applyAlignment="1">
      <alignment horizontal="center" vertical="center"/>
    </xf>
    <xf numFmtId="0" fontId="0" fillId="0" borderId="31" xfId="0" applyFill="1" applyBorder="1" applyAlignment="1">
      <alignment horizontal="center" vertical="center"/>
    </xf>
    <xf numFmtId="0" fontId="0" fillId="0" borderId="33" xfId="0" applyFill="1" applyBorder="1" applyAlignment="1">
      <alignment horizontal="center" vertical="center"/>
    </xf>
    <xf numFmtId="0" fontId="0" fillId="0" borderId="8" xfId="0" applyFill="1" applyBorder="1" applyAlignment="1">
      <alignment horizontal="center" vertical="center"/>
    </xf>
    <xf numFmtId="0" fontId="0" fillId="0" borderId="9" xfId="0" applyFill="1" applyBorder="1" applyAlignment="1">
      <alignment horizontal="center" vertical="center"/>
    </xf>
    <xf numFmtId="0" fontId="0" fillId="0" borderId="7" xfId="0" applyFill="1" applyBorder="1" applyAlignment="1">
      <alignment horizontal="center" vertical="center"/>
    </xf>
    <xf numFmtId="0" fontId="0" fillId="0" borderId="61" xfId="0" applyFill="1" applyBorder="1" applyAlignment="1">
      <alignment horizontal="right" vertical="center"/>
    </xf>
    <xf numFmtId="0" fontId="0" fillId="0" borderId="61" xfId="0" applyFill="1" applyBorder="1" applyAlignment="1">
      <alignment horizontal="right" vertical="center" wrapText="1"/>
    </xf>
    <xf numFmtId="0" fontId="0" fillId="0" borderId="62" xfId="0" applyFill="1" applyBorder="1" applyAlignment="1">
      <alignment horizontal="right" vertical="center"/>
    </xf>
    <xf numFmtId="0" fontId="0" fillId="0" borderId="17" xfId="0" applyFont="1" applyFill="1" applyBorder="1" applyAlignment="1">
      <alignment horizontal="center" vertical="center"/>
    </xf>
    <xf numFmtId="0" fontId="0" fillId="0" borderId="16" xfId="0" applyFont="1" applyFill="1" applyBorder="1" applyAlignment="1">
      <alignment horizontal="center" vertical="center"/>
    </xf>
    <xf numFmtId="0" fontId="0" fillId="0" borderId="19" xfId="0" applyFont="1" applyFill="1" applyBorder="1" applyAlignment="1">
      <alignment horizontal="center" vertical="center"/>
    </xf>
    <xf numFmtId="0" fontId="0" fillId="0" borderId="7" xfId="0" applyFont="1" applyFill="1" applyBorder="1" applyAlignment="1">
      <alignment horizontal="center" vertical="center"/>
    </xf>
    <xf numFmtId="0" fontId="0" fillId="0" borderId="8" xfId="0" applyFont="1" applyFill="1" applyBorder="1" applyAlignment="1">
      <alignment horizontal="center" vertical="center"/>
    </xf>
    <xf numFmtId="0" fontId="0" fillId="0" borderId="23" xfId="0" applyFont="1" applyFill="1" applyBorder="1" applyAlignment="1">
      <alignment horizontal="center" vertical="center"/>
    </xf>
    <xf numFmtId="0" fontId="4" fillId="3" borderId="66" xfId="0" applyFont="1" applyFill="1" applyBorder="1" applyAlignment="1">
      <alignment horizontal="center" vertical="center"/>
    </xf>
    <xf numFmtId="0" fontId="4" fillId="3" borderId="67" xfId="0" applyFont="1" applyFill="1" applyBorder="1" applyAlignment="1">
      <alignment horizontal="center" vertical="center"/>
    </xf>
    <xf numFmtId="0" fontId="0" fillId="0" borderId="53" xfId="0" applyFont="1" applyFill="1" applyBorder="1" applyAlignment="1">
      <alignment horizontal="center" vertical="center"/>
    </xf>
    <xf numFmtId="0" fontId="0" fillId="0" borderId="56" xfId="0" applyFont="1" applyFill="1" applyBorder="1" applyAlignment="1">
      <alignment horizontal="center" vertical="center"/>
    </xf>
    <xf numFmtId="0" fontId="0" fillId="0" borderId="9" xfId="0" applyFont="1" applyFill="1" applyBorder="1" applyAlignment="1">
      <alignment horizontal="center" vertical="center"/>
    </xf>
    <xf numFmtId="0" fontId="0" fillId="0" borderId="44" xfId="0" applyFill="1" applyBorder="1" applyAlignment="1">
      <alignment horizontal="center"/>
    </xf>
    <xf numFmtId="0" fontId="0" fillId="0" borderId="10" xfId="0" applyBorder="1"/>
    <xf numFmtId="0" fontId="0" fillId="0" borderId="1" xfId="0" applyFill="1" applyBorder="1" applyAlignment="1">
      <alignment horizontal="center"/>
    </xf>
    <xf numFmtId="0" fontId="0" fillId="0" borderId="22" xfId="0" applyBorder="1"/>
    <xf numFmtId="0" fontId="0" fillId="0" borderId="23" xfId="0" applyBorder="1"/>
    <xf numFmtId="0" fontId="5" fillId="3" borderId="0" xfId="0" applyFont="1" applyFill="1" applyBorder="1" applyAlignment="1">
      <alignment horizontal="center"/>
    </xf>
    <xf numFmtId="0" fontId="0" fillId="0" borderId="18" xfId="0" applyFont="1" applyFill="1" applyBorder="1" applyAlignment="1">
      <alignment horizontal="center" vertical="center" textRotation="90"/>
    </xf>
    <xf numFmtId="0" fontId="0" fillId="0" borderId="17" xfId="0" applyFont="1" applyFill="1" applyBorder="1" applyAlignment="1">
      <alignment horizontal="center" vertical="center" textRotation="90"/>
    </xf>
    <xf numFmtId="0" fontId="0" fillId="0" borderId="19" xfId="0" applyFont="1" applyFill="1" applyBorder="1" applyAlignment="1">
      <alignment horizontal="center" vertical="center" textRotation="90"/>
    </xf>
    <xf numFmtId="0" fontId="4" fillId="3" borderId="11" xfId="0" applyFont="1" applyFill="1" applyBorder="1" applyAlignment="1">
      <alignment horizontal="right" vertical="center"/>
    </xf>
    <xf numFmtId="0" fontId="4" fillId="3" borderId="68" xfId="0" applyFont="1" applyFill="1" applyBorder="1" applyAlignment="1">
      <alignment horizontal="center" vertical="center"/>
    </xf>
    <xf numFmtId="0" fontId="0" fillId="0" borderId="60" xfId="0" applyFont="1" applyFill="1" applyBorder="1" applyAlignment="1">
      <alignment horizontal="right" vertical="center"/>
    </xf>
    <xf numFmtId="0" fontId="0" fillId="0" borderId="20" xfId="0" applyFont="1" applyFill="1" applyBorder="1" applyAlignment="1">
      <alignment horizontal="center" vertical="center"/>
    </xf>
    <xf numFmtId="0" fontId="0" fillId="0" borderId="3" xfId="0" applyFont="1" applyFill="1" applyBorder="1" applyAlignment="1">
      <alignment horizontal="center" vertical="center"/>
    </xf>
    <xf numFmtId="0" fontId="0" fillId="0" borderId="4" xfId="0" applyFont="1" applyFill="1" applyBorder="1" applyAlignment="1">
      <alignment horizontal="center" vertical="center"/>
    </xf>
    <xf numFmtId="0" fontId="0" fillId="0" borderId="10" xfId="0" applyFont="1" applyFill="1" applyBorder="1" applyAlignment="1">
      <alignment horizontal="center" vertical="center"/>
    </xf>
    <xf numFmtId="0" fontId="0" fillId="0" borderId="24" xfId="0" applyFont="1" applyFill="1" applyBorder="1" applyAlignment="1">
      <alignment horizontal="center" vertical="center"/>
    </xf>
    <xf numFmtId="0" fontId="0" fillId="0" borderId="37" xfId="0" applyFont="1" applyFill="1" applyBorder="1" applyAlignment="1">
      <alignment horizontal="center" vertical="center"/>
    </xf>
    <xf numFmtId="0" fontId="0" fillId="0" borderId="43" xfId="0" applyFont="1" applyFill="1" applyBorder="1" applyAlignment="1">
      <alignment horizontal="center" vertical="center"/>
    </xf>
    <xf numFmtId="0" fontId="0" fillId="0" borderId="20" xfId="0" applyFont="1" applyBorder="1" applyAlignment="1">
      <alignment horizontal="center" vertical="center"/>
    </xf>
    <xf numFmtId="0" fontId="0" fillId="0" borderId="3" xfId="0" applyFont="1" applyBorder="1" applyAlignment="1">
      <alignment horizontal="center" vertical="center"/>
    </xf>
    <xf numFmtId="0" fontId="0" fillId="0" borderId="4" xfId="0" applyFont="1" applyBorder="1" applyAlignment="1">
      <alignment horizontal="center" vertical="center"/>
    </xf>
    <xf numFmtId="0" fontId="0" fillId="0" borderId="10" xfId="0" applyFont="1" applyBorder="1" applyAlignment="1">
      <alignment horizontal="center" vertical="center"/>
    </xf>
    <xf numFmtId="0" fontId="0" fillId="0" borderId="43" xfId="0" applyFont="1" applyBorder="1" applyAlignment="1">
      <alignment horizontal="center" vertical="center"/>
    </xf>
    <xf numFmtId="0" fontId="0" fillId="0" borderId="17" xfId="0" applyFont="1" applyBorder="1" applyAlignment="1">
      <alignment horizontal="center" vertical="center"/>
    </xf>
    <xf numFmtId="0" fontId="0" fillId="0" borderId="18" xfId="0" applyFont="1" applyBorder="1" applyAlignment="1">
      <alignment horizontal="center" vertical="center"/>
    </xf>
    <xf numFmtId="0" fontId="0" fillId="0" borderId="19" xfId="0" applyFont="1" applyBorder="1" applyAlignment="1">
      <alignment horizontal="center" vertical="center"/>
    </xf>
    <xf numFmtId="0" fontId="0" fillId="0" borderId="61" xfId="0" applyFont="1" applyFill="1" applyBorder="1" applyAlignment="1">
      <alignment horizontal="right" vertical="center"/>
    </xf>
    <xf numFmtId="0" fontId="0" fillId="0" borderId="6" xfId="0" applyFont="1" applyFill="1" applyBorder="1" applyAlignment="1">
      <alignment horizontal="center" vertical="center"/>
    </xf>
    <xf numFmtId="0" fontId="0" fillId="0" borderId="1" xfId="0" applyFont="1" applyFill="1" applyBorder="1" applyAlignment="1">
      <alignment horizontal="center" vertical="center"/>
    </xf>
    <xf numFmtId="0" fontId="0" fillId="0" borderId="5" xfId="0" applyFont="1" applyFill="1" applyBorder="1" applyAlignment="1">
      <alignment horizontal="center" vertical="center"/>
    </xf>
    <xf numFmtId="0" fontId="0" fillId="0" borderId="22" xfId="0" applyFont="1" applyFill="1" applyBorder="1" applyAlignment="1">
      <alignment horizontal="center" vertical="center"/>
    </xf>
    <xf numFmtId="0" fontId="0" fillId="0" borderId="25" xfId="0" applyFont="1" applyFill="1" applyBorder="1" applyAlignment="1">
      <alignment horizontal="center" vertical="center"/>
    </xf>
    <xf numFmtId="0" fontId="0" fillId="0" borderId="27" xfId="0" applyFont="1" applyFill="1" applyBorder="1" applyAlignment="1">
      <alignment horizontal="center" vertical="center"/>
    </xf>
    <xf numFmtId="0" fontId="0" fillId="0" borderId="30" xfId="0" applyFont="1" applyFill="1" applyBorder="1" applyAlignment="1">
      <alignment horizontal="center" vertical="center"/>
    </xf>
    <xf numFmtId="0" fontId="0" fillId="0" borderId="51" xfId="0" applyFont="1" applyFill="1" applyBorder="1" applyAlignment="1">
      <alignment horizontal="center" vertical="center"/>
    </xf>
    <xf numFmtId="0" fontId="0" fillId="0" borderId="52" xfId="0" applyFont="1" applyFill="1" applyBorder="1" applyAlignment="1">
      <alignment horizontal="center" vertical="center"/>
    </xf>
    <xf numFmtId="0" fontId="0" fillId="0" borderId="39" xfId="0" applyFont="1" applyFill="1" applyBorder="1" applyAlignment="1">
      <alignment horizontal="center" vertical="center"/>
    </xf>
    <xf numFmtId="0" fontId="0" fillId="0" borderId="46" xfId="0" applyFont="1" applyFill="1" applyBorder="1" applyAlignment="1">
      <alignment horizontal="center" vertical="center"/>
    </xf>
    <xf numFmtId="0" fontId="0" fillId="0" borderId="28" xfId="0" applyFont="1" applyFill="1" applyBorder="1" applyAlignment="1">
      <alignment horizontal="center" vertical="center"/>
    </xf>
    <xf numFmtId="0" fontId="0" fillId="0" borderId="29" xfId="0" applyFont="1" applyFill="1" applyBorder="1" applyAlignment="1">
      <alignment horizontal="center" vertical="center"/>
    </xf>
    <xf numFmtId="0" fontId="0" fillId="0" borderId="32" xfId="0" applyFont="1" applyFill="1" applyBorder="1" applyAlignment="1">
      <alignment horizontal="center" vertical="center"/>
    </xf>
    <xf numFmtId="0" fontId="0" fillId="0" borderId="44" xfId="0" applyFont="1" applyFill="1" applyBorder="1" applyAlignment="1">
      <alignment horizontal="center" vertical="center"/>
    </xf>
    <xf numFmtId="0" fontId="0" fillId="0" borderId="6" xfId="0" applyFont="1" applyBorder="1" applyAlignment="1">
      <alignment horizontal="center" vertical="center"/>
    </xf>
    <xf numFmtId="0" fontId="0" fillId="0" borderId="1" xfId="0" applyFont="1" applyBorder="1" applyAlignment="1">
      <alignment horizontal="center" vertical="center"/>
    </xf>
    <xf numFmtId="0" fontId="0" fillId="0" borderId="5" xfId="0" applyFont="1" applyBorder="1" applyAlignment="1">
      <alignment horizontal="center" vertical="center"/>
    </xf>
    <xf numFmtId="0" fontId="0" fillId="0" borderId="22" xfId="0" applyFont="1" applyBorder="1" applyAlignment="1">
      <alignment horizontal="center" vertical="center"/>
    </xf>
    <xf numFmtId="0" fontId="0" fillId="0" borderId="44" xfId="0" applyFont="1" applyBorder="1" applyAlignment="1">
      <alignment horizontal="center" vertical="center"/>
    </xf>
    <xf numFmtId="0" fontId="0" fillId="0" borderId="30" xfId="0" applyFont="1" applyBorder="1" applyAlignment="1">
      <alignment horizontal="center" vertical="center"/>
    </xf>
    <xf numFmtId="0" fontId="0" fillId="0" borderId="31" xfId="0" applyFont="1" applyBorder="1" applyAlignment="1">
      <alignment horizontal="center" vertical="center"/>
    </xf>
    <xf numFmtId="0" fontId="0" fillId="0" borderId="33" xfId="0" applyFont="1" applyBorder="1" applyAlignment="1">
      <alignment horizontal="center" vertical="center"/>
    </xf>
    <xf numFmtId="0" fontId="0" fillId="0" borderId="0" xfId="0" applyFont="1" applyFill="1" applyBorder="1" applyAlignment="1">
      <alignment horizontal="center" vertical="center"/>
    </xf>
    <xf numFmtId="0" fontId="0" fillId="0" borderId="48" xfId="0" applyFont="1" applyFill="1" applyBorder="1" applyAlignment="1">
      <alignment horizontal="center" vertical="center"/>
    </xf>
    <xf numFmtId="0" fontId="0" fillId="0" borderId="49" xfId="0" applyFont="1" applyFill="1" applyBorder="1" applyAlignment="1">
      <alignment horizontal="center" vertical="center"/>
    </xf>
    <xf numFmtId="0" fontId="0" fillId="0" borderId="50" xfId="0" applyFont="1" applyFill="1" applyBorder="1" applyAlignment="1">
      <alignment horizontal="center" vertical="center"/>
    </xf>
    <xf numFmtId="0" fontId="0" fillId="0" borderId="28" xfId="0" applyFont="1" applyBorder="1" applyAlignment="1">
      <alignment horizontal="center" vertical="center"/>
    </xf>
    <xf numFmtId="0" fontId="0" fillId="0" borderId="29" xfId="0" applyFont="1" applyBorder="1" applyAlignment="1">
      <alignment horizontal="center" vertical="center"/>
    </xf>
    <xf numFmtId="0" fontId="0" fillId="0" borderId="32" xfId="0" applyFont="1" applyBorder="1" applyAlignment="1">
      <alignment horizontal="center" vertical="center"/>
    </xf>
    <xf numFmtId="0" fontId="0" fillId="0" borderId="31" xfId="0" applyFont="1" applyFill="1" applyBorder="1" applyAlignment="1">
      <alignment horizontal="center" vertical="center"/>
    </xf>
    <xf numFmtId="0" fontId="0" fillId="0" borderId="33" xfId="0" applyFont="1" applyFill="1" applyBorder="1" applyAlignment="1">
      <alignment horizontal="center" vertical="center"/>
    </xf>
    <xf numFmtId="0" fontId="0" fillId="0" borderId="40" xfId="0" applyFont="1" applyFill="1" applyBorder="1" applyAlignment="1">
      <alignment horizontal="center" vertical="center"/>
    </xf>
    <xf numFmtId="0" fontId="0" fillId="0" borderId="47" xfId="0" applyFont="1" applyFill="1" applyBorder="1" applyAlignment="1">
      <alignment horizontal="center" vertical="center"/>
    </xf>
    <xf numFmtId="0" fontId="0" fillId="0" borderId="57" xfId="0" applyFont="1" applyBorder="1" applyAlignment="1">
      <alignment horizontal="center" vertical="center"/>
    </xf>
    <xf numFmtId="0" fontId="0" fillId="0" borderId="58" xfId="0" applyFont="1" applyBorder="1" applyAlignment="1">
      <alignment horizontal="center" vertical="center"/>
    </xf>
    <xf numFmtId="0" fontId="0" fillId="0" borderId="59" xfId="0" applyFont="1" applyBorder="1" applyAlignment="1">
      <alignment horizontal="center" vertical="center"/>
    </xf>
    <xf numFmtId="0" fontId="0" fillId="0" borderId="15" xfId="0" applyFont="1" applyFill="1" applyBorder="1" applyAlignment="1">
      <alignment horizontal="center" vertical="center"/>
    </xf>
    <xf numFmtId="0" fontId="0" fillId="0" borderId="61" xfId="0" applyFont="1" applyFill="1" applyBorder="1" applyAlignment="1">
      <alignment horizontal="right" vertical="center" wrapText="1"/>
    </xf>
    <xf numFmtId="0" fontId="0" fillId="0" borderId="6" xfId="0" applyFont="1" applyFill="1" applyBorder="1"/>
    <xf numFmtId="0" fontId="0" fillId="0" borderId="1" xfId="0" applyFont="1" applyFill="1" applyBorder="1"/>
    <xf numFmtId="0" fontId="0" fillId="0" borderId="5" xfId="0" applyFont="1" applyFill="1" applyBorder="1"/>
    <xf numFmtId="0" fontId="0" fillId="0" borderId="57" xfId="0" applyFont="1" applyFill="1" applyBorder="1" applyAlignment="1">
      <alignment horizontal="center" vertical="center"/>
    </xf>
    <xf numFmtId="0" fontId="0" fillId="0" borderId="58" xfId="0" applyFont="1" applyFill="1" applyBorder="1" applyAlignment="1">
      <alignment horizontal="center" vertical="center"/>
    </xf>
    <xf numFmtId="0" fontId="0" fillId="0" borderId="59" xfId="0" applyFont="1" applyFill="1" applyBorder="1" applyAlignment="1">
      <alignment horizontal="center" vertical="center"/>
    </xf>
    <xf numFmtId="0" fontId="0" fillId="0" borderId="62" xfId="0" applyFont="1" applyFill="1" applyBorder="1" applyAlignment="1">
      <alignment horizontal="right" vertical="center"/>
    </xf>
    <xf numFmtId="0" fontId="0" fillId="0" borderId="7" xfId="0" applyFont="1" applyFill="1" applyBorder="1"/>
    <xf numFmtId="0" fontId="0" fillId="0" borderId="8" xfId="0" applyFont="1" applyFill="1" applyBorder="1"/>
    <xf numFmtId="0" fontId="0" fillId="0" borderId="9" xfId="0" applyFont="1" applyFill="1" applyBorder="1"/>
    <xf numFmtId="0" fontId="0" fillId="0" borderId="26" xfId="0" applyFont="1" applyFill="1" applyBorder="1" applyAlignment="1">
      <alignment horizontal="center" vertical="center"/>
    </xf>
    <xf numFmtId="0" fontId="0" fillId="0" borderId="38" xfId="0" applyFont="1" applyFill="1" applyBorder="1" applyAlignment="1">
      <alignment horizontal="center" vertical="center"/>
    </xf>
    <xf numFmtId="0" fontId="0" fillId="0" borderId="35" xfId="0" applyFont="1" applyFill="1" applyBorder="1" applyAlignment="1">
      <alignment horizontal="center" vertical="center"/>
    </xf>
    <xf numFmtId="0" fontId="0" fillId="0" borderId="45" xfId="0" applyFont="1" applyFill="1" applyBorder="1" applyAlignment="1">
      <alignment horizontal="center" vertical="center"/>
    </xf>
    <xf numFmtId="0" fontId="0" fillId="0" borderId="7" xfId="0" applyFont="1" applyBorder="1" applyAlignment="1">
      <alignment horizontal="center" vertical="center"/>
    </xf>
    <xf numFmtId="0" fontId="0" fillId="0" borderId="8" xfId="0" applyFont="1" applyBorder="1" applyAlignment="1">
      <alignment horizontal="center" vertical="center"/>
    </xf>
    <xf numFmtId="0" fontId="0" fillId="0" borderId="9" xfId="0" applyFont="1" applyBorder="1" applyAlignment="1">
      <alignment horizontal="center" vertical="center"/>
    </xf>
    <xf numFmtId="0" fontId="0" fillId="0" borderId="23" xfId="0" applyFont="1" applyBorder="1" applyAlignment="1">
      <alignment horizontal="center" vertical="center"/>
    </xf>
    <xf numFmtId="0" fontId="0" fillId="0" borderId="45" xfId="0" applyFont="1" applyBorder="1" applyAlignment="1">
      <alignment horizontal="center" vertical="center"/>
    </xf>
    <xf numFmtId="0" fontId="0" fillId="0" borderId="11" xfId="0" applyFont="1" applyFill="1" applyBorder="1" applyAlignment="1">
      <alignment horizontal="center" vertical="center"/>
    </xf>
    <xf numFmtId="0" fontId="0" fillId="0" borderId="65" xfId="0" applyFont="1" applyFill="1" applyBorder="1" applyAlignment="1">
      <alignment horizontal="center" vertical="center"/>
    </xf>
    <xf numFmtId="0" fontId="0" fillId="0" borderId="24" xfId="0" applyFont="1" applyBorder="1" applyAlignment="1">
      <alignment horizontal="center" vertical="center"/>
    </xf>
    <xf numFmtId="0" fontId="0" fillId="0" borderId="25" xfId="0" applyFont="1" applyBorder="1" applyAlignment="1">
      <alignment horizontal="center" vertical="center"/>
    </xf>
    <xf numFmtId="0" fontId="0" fillId="0" borderId="26" xfId="0" applyFont="1" applyBorder="1" applyAlignment="1">
      <alignment horizontal="center" vertical="center"/>
    </xf>
    <xf numFmtId="0" fontId="0" fillId="0" borderId="21" xfId="0" applyFont="1" applyFill="1" applyBorder="1" applyAlignment="1">
      <alignment horizontal="center" vertical="center"/>
    </xf>
    <xf numFmtId="0" fontId="0" fillId="0" borderId="46" xfId="0" applyFont="1" applyBorder="1" applyAlignment="1">
      <alignment horizontal="center" vertical="center"/>
    </xf>
    <xf numFmtId="0" fontId="0" fillId="0" borderId="42" xfId="0" applyFont="1" applyBorder="1" applyAlignment="1">
      <alignment horizontal="center" vertical="center"/>
    </xf>
    <xf numFmtId="0" fontId="0" fillId="0" borderId="48" xfId="0" applyFont="1" applyBorder="1" applyAlignment="1">
      <alignment horizontal="center" vertical="center"/>
    </xf>
    <xf numFmtId="0" fontId="0" fillId="0" borderId="47" xfId="0" applyFont="1" applyBorder="1" applyAlignment="1">
      <alignment horizontal="center" vertical="center"/>
    </xf>
    <xf numFmtId="0" fontId="0" fillId="0" borderId="69" xfId="0" applyFill="1" applyBorder="1" applyAlignment="1">
      <alignment horizontal="right" vertical="center"/>
    </xf>
    <xf numFmtId="0" fontId="5" fillId="3" borderId="14" xfId="0" applyFont="1" applyFill="1" applyBorder="1" applyAlignment="1">
      <alignment horizontal="right" vertical="center"/>
    </xf>
    <xf numFmtId="0" fontId="0" fillId="0" borderId="20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9" xfId="0" applyBorder="1" applyAlignment="1">
      <alignment horizontal="center"/>
    </xf>
    <xf numFmtId="1" fontId="0" fillId="0" borderId="44" xfId="0" applyNumberFormat="1" applyFill="1" applyBorder="1" applyAlignment="1">
      <alignment horizontal="center"/>
    </xf>
    <xf numFmtId="1" fontId="0" fillId="0" borderId="18" xfId="0" applyNumberFormat="1" applyFont="1" applyFill="1" applyBorder="1" applyAlignment="1">
      <alignment horizontal="center" vertical="center"/>
    </xf>
    <xf numFmtId="1" fontId="0" fillId="0" borderId="19" xfId="0" applyNumberFormat="1" applyFont="1" applyFill="1" applyBorder="1" applyAlignment="1">
      <alignment horizontal="center" vertical="center"/>
    </xf>
    <xf numFmtId="0" fontId="0" fillId="0" borderId="14" xfId="0" applyFont="1" applyFill="1" applyBorder="1" applyAlignment="1">
      <alignment horizontal="center" vertical="center"/>
    </xf>
    <xf numFmtId="0" fontId="0" fillId="0" borderId="15" xfId="0" applyFont="1" applyFill="1" applyBorder="1" applyAlignment="1">
      <alignment horizontal="center" vertical="center"/>
    </xf>
    <xf numFmtId="0" fontId="0" fillId="0" borderId="0" xfId="0" applyFont="1" applyBorder="1" applyAlignment="1">
      <alignment horizontal="center" vertical="center"/>
    </xf>
    <xf numFmtId="0" fontId="0" fillId="0" borderId="16" xfId="0" applyFont="1" applyFill="1" applyBorder="1" applyAlignment="1">
      <alignment horizontal="center" vertical="center" textRotation="90"/>
    </xf>
    <xf numFmtId="0" fontId="0" fillId="0" borderId="16" xfId="0" applyFont="1" applyFill="1" applyBorder="1" applyAlignment="1">
      <alignment horizontal="center" vertical="center"/>
    </xf>
    <xf numFmtId="0" fontId="0" fillId="0" borderId="60" xfId="0" applyFont="1" applyFill="1" applyBorder="1" applyAlignment="1">
      <alignment horizontal="center" vertical="center"/>
    </xf>
    <xf numFmtId="0" fontId="0" fillId="0" borderId="70" xfId="0" applyFont="1" applyFill="1" applyBorder="1" applyAlignment="1">
      <alignment horizontal="center" vertical="center"/>
    </xf>
    <xf numFmtId="0" fontId="0" fillId="0" borderId="71" xfId="0" applyFont="1" applyFill="1" applyBorder="1" applyAlignment="1">
      <alignment horizontal="center" vertical="center"/>
    </xf>
    <xf numFmtId="0" fontId="0" fillId="0" borderId="69" xfId="0" applyFont="1" applyFill="1" applyBorder="1" applyAlignment="1">
      <alignment horizontal="center" vertical="center"/>
    </xf>
    <xf numFmtId="0" fontId="0" fillId="0" borderId="61" xfId="0" applyFont="1" applyFill="1" applyBorder="1" applyAlignment="1">
      <alignment horizontal="center" vertical="center"/>
    </xf>
    <xf numFmtId="0" fontId="0" fillId="0" borderId="62" xfId="0" applyFont="1" applyFill="1" applyBorder="1" applyAlignment="1">
      <alignment horizontal="center" vertical="center"/>
    </xf>
    <xf numFmtId="0" fontId="5" fillId="3" borderId="2" xfId="0" applyFont="1" applyFill="1" applyBorder="1" applyAlignment="1">
      <alignment horizontal="center" vertical="center"/>
    </xf>
    <xf numFmtId="0" fontId="5" fillId="3" borderId="66" xfId="0" applyFont="1" applyFill="1" applyBorder="1" applyAlignment="1">
      <alignment horizontal="center" vertical="center"/>
    </xf>
    <xf numFmtId="0" fontId="5" fillId="3" borderId="67" xfId="0" applyFont="1" applyFill="1" applyBorder="1" applyAlignment="1">
      <alignment horizontal="center" vertical="center"/>
    </xf>
    <xf numFmtId="0" fontId="5" fillId="3" borderId="68" xfId="0" applyFont="1" applyFill="1" applyBorder="1" applyAlignment="1">
      <alignment horizontal="center" vertical="center"/>
    </xf>
    <xf numFmtId="0" fontId="0" fillId="0" borderId="45" xfId="0" applyFill="1" applyBorder="1" applyAlignment="1">
      <alignment horizontal="center"/>
    </xf>
    <xf numFmtId="0" fontId="0" fillId="0" borderId="20" xfId="0" applyFill="1" applyBorder="1" applyAlignment="1">
      <alignment horizontal="center"/>
    </xf>
    <xf numFmtId="0" fontId="0" fillId="0" borderId="4" xfId="0" applyFill="1" applyBorder="1" applyAlignment="1">
      <alignment horizontal="center"/>
    </xf>
    <xf numFmtId="0" fontId="0" fillId="0" borderId="61" xfId="0" applyFill="1" applyBorder="1" applyAlignment="1">
      <alignment horizontal="center"/>
    </xf>
    <xf numFmtId="0" fontId="0" fillId="0" borderId="27" xfId="0" applyFill="1" applyBorder="1" applyAlignment="1">
      <alignment horizontal="center"/>
    </xf>
    <xf numFmtId="0" fontId="0" fillId="0" borderId="62" xfId="0" applyFill="1" applyBorder="1" applyAlignment="1">
      <alignment horizontal="center"/>
    </xf>
    <xf numFmtId="0" fontId="0" fillId="0" borderId="38" xfId="0" applyFill="1" applyBorder="1" applyAlignment="1">
      <alignment horizontal="center"/>
    </xf>
    <xf numFmtId="0" fontId="0" fillId="0" borderId="39" xfId="0" applyFont="1" applyBorder="1" applyAlignment="1">
      <alignment horizontal="center" vertical="center"/>
    </xf>
    <xf numFmtId="0" fontId="0" fillId="0" borderId="40" xfId="0" applyFont="1" applyBorder="1" applyAlignment="1">
      <alignment horizontal="center" vertical="center"/>
    </xf>
    <xf numFmtId="0" fontId="0" fillId="0" borderId="15" xfId="0" applyFont="1" applyBorder="1" applyAlignment="1">
      <alignment horizontal="center" vertical="center"/>
    </xf>
    <xf numFmtId="0" fontId="0" fillId="0" borderId="16" xfId="0" applyFont="1" applyBorder="1" applyAlignment="1">
      <alignment horizontal="center" vertical="center"/>
    </xf>
    <xf numFmtId="0" fontId="0" fillId="0" borderId="34" xfId="0" applyFont="1" applyFill="1" applyBorder="1" applyAlignment="1">
      <alignment horizontal="center" vertical="center"/>
    </xf>
    <xf numFmtId="0" fontId="0" fillId="0" borderId="1" xfId="0" applyFont="1" applyBorder="1" applyAlignment="1">
      <alignment vertical="center"/>
    </xf>
    <xf numFmtId="0" fontId="0" fillId="0" borderId="6" xfId="0" applyFont="1" applyBorder="1" applyAlignment="1">
      <alignment vertical="center"/>
    </xf>
    <xf numFmtId="0" fontId="0" fillId="0" borderId="5" xfId="0" applyFont="1" applyBorder="1" applyAlignment="1">
      <alignment vertical="center"/>
    </xf>
    <xf numFmtId="0" fontId="0" fillId="0" borderId="44" xfId="0" applyFont="1" applyBorder="1" applyAlignment="1">
      <alignment vertical="center"/>
    </xf>
    <xf numFmtId="0" fontId="0" fillId="0" borderId="44" xfId="0" applyFont="1" applyFill="1" applyBorder="1"/>
    <xf numFmtId="0" fontId="0" fillId="0" borderId="45" xfId="0" applyFont="1" applyFill="1" applyBorder="1"/>
    <xf numFmtId="0" fontId="0" fillId="0" borderId="22" xfId="0" applyFont="1" applyBorder="1" applyAlignment="1">
      <alignment vertical="center"/>
    </xf>
    <xf numFmtId="0" fontId="0" fillId="0" borderId="22" xfId="0" applyFont="1" applyFill="1" applyBorder="1"/>
    <xf numFmtId="0" fontId="0" fillId="0" borderId="23" xfId="0" applyFont="1" applyFill="1" applyBorder="1"/>
    <xf numFmtId="0" fontId="0" fillId="0" borderId="72" xfId="0" applyFont="1" applyFill="1" applyBorder="1" applyAlignment="1">
      <alignment horizontal="center" vertical="center"/>
    </xf>
    <xf numFmtId="0" fontId="0" fillId="0" borderId="37" xfId="0" applyFont="1" applyBorder="1" applyAlignment="1">
      <alignment horizontal="center" vertical="center"/>
    </xf>
    <xf numFmtId="0" fontId="0" fillId="0" borderId="27" xfId="0" applyFont="1" applyBorder="1" applyAlignment="1">
      <alignment horizontal="center" vertical="center"/>
    </xf>
    <xf numFmtId="0" fontId="0" fillId="0" borderId="38" xfId="0" applyFont="1" applyBorder="1" applyAlignment="1">
      <alignment horizontal="center" vertical="center"/>
    </xf>
    <xf numFmtId="0" fontId="0" fillId="0" borderId="49" xfId="0" applyFont="1" applyBorder="1" applyAlignment="1">
      <alignment horizontal="center" vertical="center"/>
    </xf>
    <xf numFmtId="0" fontId="0" fillId="0" borderId="51" xfId="0" applyFont="1" applyBorder="1" applyAlignment="1">
      <alignment horizontal="center" vertical="center"/>
    </xf>
    <xf numFmtId="0" fontId="0" fillId="0" borderId="41" xfId="0" applyFont="1" applyBorder="1" applyAlignment="1">
      <alignment horizontal="center" vertical="center"/>
    </xf>
    <xf numFmtId="0" fontId="0" fillId="0" borderId="73" xfId="0" applyFont="1" applyBorder="1" applyAlignment="1">
      <alignment horizontal="center" vertical="center"/>
    </xf>
    <xf numFmtId="0" fontId="5" fillId="3" borderId="15" xfId="0" applyFont="1" applyFill="1" applyBorder="1" applyAlignment="1">
      <alignment horizontal="center"/>
    </xf>
    <xf numFmtId="0" fontId="0" fillId="0" borderId="66" xfId="0" applyFont="1" applyFill="1" applyBorder="1" applyAlignment="1">
      <alignment horizontal="center" vertical="center"/>
    </xf>
    <xf numFmtId="0" fontId="0" fillId="0" borderId="67" xfId="0" applyFont="1" applyFill="1" applyBorder="1" applyAlignment="1">
      <alignment horizontal="center" vertical="center"/>
    </xf>
    <xf numFmtId="0" fontId="0" fillId="0" borderId="68" xfId="0" applyFont="1" applyFill="1" applyBorder="1" applyAlignment="1">
      <alignment horizontal="center" vertical="center"/>
    </xf>
    <xf numFmtId="0" fontId="0" fillId="0" borderId="71" xfId="0" applyFont="1" applyBorder="1" applyAlignment="1">
      <alignment horizontal="center" vertical="center"/>
    </xf>
    <xf numFmtId="0" fontId="0" fillId="0" borderId="17" xfId="0" applyFont="1" applyFill="1" applyBorder="1" applyAlignment="1">
      <alignment horizontal="center" vertical="center" textRotation="90"/>
    </xf>
    <xf numFmtId="0" fontId="0" fillId="0" borderId="18" xfId="0" applyBorder="1" applyAlignment="1">
      <alignment horizontal="center" vertical="center" textRotation="90"/>
    </xf>
    <xf numFmtId="0" fontId="0" fillId="0" borderId="19" xfId="0" applyBorder="1" applyAlignment="1">
      <alignment horizontal="center" vertical="center" textRotation="90"/>
    </xf>
    <xf numFmtId="0" fontId="0" fillId="0" borderId="41" xfId="0" applyFont="1" applyFill="1" applyBorder="1" applyAlignment="1">
      <alignment horizontal="center" vertical="center" textRotation="90"/>
    </xf>
    <xf numFmtId="0" fontId="0" fillId="0" borderId="14" xfId="0" applyFont="1" applyFill="1" applyBorder="1" applyAlignment="1">
      <alignment horizontal="center" vertical="center" textRotation="90"/>
    </xf>
    <xf numFmtId="0" fontId="0" fillId="0" borderId="15" xfId="0" applyBorder="1" applyAlignment="1">
      <alignment horizontal="center" vertical="center" textRotation="90"/>
    </xf>
    <xf numFmtId="0" fontId="0" fillId="0" borderId="16" xfId="0" applyBorder="1" applyAlignment="1">
      <alignment horizontal="center" vertical="center" textRotation="90"/>
    </xf>
    <xf numFmtId="0" fontId="0" fillId="0" borderId="42" xfId="0" applyBorder="1" applyAlignment="1">
      <alignment horizontal="center" vertical="center" textRotation="90"/>
    </xf>
    <xf numFmtId="0" fontId="0" fillId="0" borderId="14" xfId="0" applyFon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4" borderId="20" xfId="0" applyFont="1" applyFill="1" applyBorder="1" applyAlignment="1">
      <alignment horizontal="center" vertical="center" textRotation="90"/>
    </xf>
    <xf numFmtId="0" fontId="0" fillId="4" borderId="3" xfId="0" applyFill="1" applyBorder="1" applyAlignment="1">
      <alignment horizontal="center" vertical="center" textRotation="90"/>
    </xf>
    <xf numFmtId="0" fontId="0" fillId="4" borderId="4" xfId="0" applyFill="1" applyBorder="1" applyAlignment="1">
      <alignment horizontal="center" vertical="center" textRotation="90"/>
    </xf>
    <xf numFmtId="0" fontId="0" fillId="4" borderId="10" xfId="0" applyFont="1" applyFill="1" applyBorder="1" applyAlignment="1">
      <alignment horizontal="center" vertical="center" textRotation="90"/>
    </xf>
    <xf numFmtId="0" fontId="0" fillId="4" borderId="43" xfId="0" applyFill="1" applyBorder="1" applyAlignment="1">
      <alignment horizontal="center" vertical="center" textRotation="90"/>
    </xf>
    <xf numFmtId="0" fontId="0" fillId="4" borderId="14" xfId="0" applyFont="1" applyFill="1" applyBorder="1" applyAlignment="1">
      <alignment horizontal="center" vertical="center" textRotation="90" wrapText="1"/>
    </xf>
    <xf numFmtId="0" fontId="0" fillId="0" borderId="15" xfId="0" applyBorder="1" applyAlignment="1">
      <alignment horizontal="center" vertical="center" textRotation="90" wrapText="1"/>
    </xf>
    <xf numFmtId="0" fontId="0" fillId="0" borderId="16" xfId="0" applyBorder="1" applyAlignment="1">
      <alignment horizontal="center" vertical="center" textRotation="90" wrapText="1"/>
    </xf>
    <xf numFmtId="0" fontId="0" fillId="4" borderId="14" xfId="0" applyFont="1" applyFill="1" applyBorder="1" applyAlignment="1">
      <alignment horizontal="center" vertical="center" textRotation="90"/>
    </xf>
    <xf numFmtId="0" fontId="0" fillId="0" borderId="14" xfId="0" applyFont="1" applyFill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0" xfId="0" applyFont="1" applyBorder="1" applyAlignment="1">
      <alignment horizontal="center" vertical="center"/>
    </xf>
    <xf numFmtId="0" fontId="0" fillId="0" borderId="0" xfId="0" applyFont="1" applyBorder="1" applyAlignment="1">
      <alignment vertical="center"/>
    </xf>
    <xf numFmtId="0" fontId="0" fillId="0" borderId="42" xfId="0" applyFont="1" applyFill="1" applyBorder="1" applyAlignment="1">
      <alignment horizontal="center" vertical="center" textRotation="90"/>
    </xf>
    <xf numFmtId="0" fontId="0" fillId="0" borderId="15" xfId="0" applyFont="1" applyFill="1" applyBorder="1" applyAlignment="1">
      <alignment horizontal="center" vertical="center" textRotation="90"/>
    </xf>
    <xf numFmtId="0" fontId="0" fillId="4" borderId="15" xfId="0" applyFont="1" applyFill="1" applyBorder="1" applyAlignment="1">
      <alignment horizontal="center" vertical="center" textRotation="90" wrapText="1"/>
    </xf>
    <xf numFmtId="0" fontId="0" fillId="4" borderId="16" xfId="0" applyFont="1" applyFill="1" applyBorder="1" applyAlignment="1">
      <alignment horizontal="center" vertical="center" textRotation="90" wrapText="1"/>
    </xf>
    <xf numFmtId="0" fontId="0" fillId="0" borderId="16" xfId="0" applyFont="1" applyFill="1" applyBorder="1" applyAlignment="1">
      <alignment horizontal="center" vertical="center" textRotation="90"/>
    </xf>
    <xf numFmtId="0" fontId="0" fillId="0" borderId="15" xfId="0" applyFont="1" applyFill="1" applyBorder="1" applyAlignment="1">
      <alignment horizontal="center" vertical="center"/>
    </xf>
    <xf numFmtId="0" fontId="0" fillId="0" borderId="16" xfId="0" applyFont="1" applyFill="1" applyBorder="1" applyAlignment="1">
      <alignment horizontal="center" vertical="center"/>
    </xf>
    <xf numFmtId="0" fontId="0" fillId="0" borderId="2" xfId="0" applyFont="1" applyFill="1" applyBorder="1" applyAlignment="1">
      <alignment horizontal="center" vertical="center" textRotation="90"/>
    </xf>
    <xf numFmtId="0" fontId="0" fillId="0" borderId="12" xfId="0" applyFont="1" applyFill="1" applyBorder="1" applyAlignment="1">
      <alignment horizontal="center" vertical="center" textRotation="90"/>
    </xf>
    <xf numFmtId="0" fontId="0" fillId="0" borderId="13" xfId="0" applyFont="1" applyFill="1" applyBorder="1" applyAlignment="1">
      <alignment horizontal="center" vertical="center" textRotation="90"/>
    </xf>
    <xf numFmtId="0" fontId="0" fillId="0" borderId="64" xfId="0" applyFont="1" applyFill="1" applyBorder="1" applyAlignment="1">
      <alignment horizontal="center" vertical="center" textRotation="90" wrapText="1"/>
    </xf>
    <xf numFmtId="0" fontId="0" fillId="0" borderId="63" xfId="0" applyFont="1" applyFill="1" applyBorder="1" applyAlignment="1">
      <alignment horizontal="center" vertical="center" textRotation="90"/>
    </xf>
    <xf numFmtId="0" fontId="0" fillId="0" borderId="64" xfId="0" applyFont="1" applyFill="1" applyBorder="1" applyAlignment="1">
      <alignment horizontal="center" vertical="center" textRotation="90"/>
    </xf>
    <xf numFmtId="0" fontId="0" fillId="0" borderId="14" xfId="0" applyFont="1" applyFill="1" applyBorder="1" applyAlignment="1">
      <alignment horizontal="center" vertical="center" wrapText="1"/>
    </xf>
    <xf numFmtId="0" fontId="0" fillId="4" borderId="2" xfId="0" applyFont="1" applyFill="1" applyBorder="1" applyAlignment="1">
      <alignment horizontal="center" vertical="center" textRotation="90" wrapText="1"/>
    </xf>
    <xf numFmtId="0" fontId="0" fillId="4" borderId="12" xfId="0" applyFont="1" applyFill="1" applyBorder="1" applyAlignment="1">
      <alignment horizontal="center" vertical="center" textRotation="90"/>
    </xf>
    <xf numFmtId="0" fontId="0" fillId="4" borderId="13" xfId="0" applyFont="1" applyFill="1" applyBorder="1" applyAlignment="1">
      <alignment horizontal="center" vertical="center" textRotation="90"/>
    </xf>
    <xf numFmtId="0" fontId="0" fillId="4" borderId="12" xfId="0" applyFont="1" applyFill="1" applyBorder="1" applyAlignment="1">
      <alignment horizontal="center" vertical="center" textRotation="90" wrapText="1"/>
    </xf>
    <xf numFmtId="0" fontId="0" fillId="0" borderId="2" xfId="0" applyFont="1" applyFill="1" applyBorder="1" applyAlignment="1">
      <alignment horizontal="center" vertical="center"/>
    </xf>
    <xf numFmtId="0" fontId="0" fillId="0" borderId="12" xfId="0" applyFont="1" applyFill="1" applyBorder="1" applyAlignment="1">
      <alignment horizontal="center" vertical="center"/>
    </xf>
    <xf numFmtId="0" fontId="0" fillId="0" borderId="13" xfId="0" applyFont="1" applyFill="1" applyBorder="1" applyAlignment="1">
      <alignment horizontal="center" vertical="center"/>
    </xf>
    <xf numFmtId="0" fontId="0" fillId="4" borderId="57" xfId="0" applyFont="1" applyFill="1" applyBorder="1" applyAlignment="1">
      <alignment horizontal="center" vertical="center" textRotation="90"/>
    </xf>
    <xf numFmtId="0" fontId="0" fillId="4" borderId="58" xfId="0" applyFont="1" applyFill="1" applyBorder="1" applyAlignment="1">
      <alignment horizontal="center" vertical="center" textRotation="90"/>
    </xf>
    <xf numFmtId="0" fontId="0" fillId="4" borderId="48" xfId="0" applyFont="1" applyFill="1" applyBorder="1" applyAlignment="1">
      <alignment horizontal="center" vertical="center" textRotation="90"/>
    </xf>
    <xf numFmtId="0" fontId="0" fillId="4" borderId="59" xfId="0" applyFont="1" applyFill="1" applyBorder="1" applyAlignment="1">
      <alignment horizontal="center" vertical="center" textRotation="90"/>
    </xf>
  </cellXfs>
  <cellStyles count="2">
    <cellStyle name="Normal" xfId="0" builtinId="0"/>
    <cellStyle name="Normal 2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New.Mapping.MBD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MAIN"/>
      <sheetName val="Detail MBD"/>
      <sheetName val="Assembly&amp;Instl MBD"/>
      <sheetName val="PMI"/>
      <sheetName val="Additive Manufacturing"/>
      <sheetName val="CastingForging"/>
      <sheetName val="Sheetmetal"/>
      <sheetName val="Composite"/>
      <sheetName val="Electrical Wire Harness"/>
      <sheetName val="Mechanical Systems"/>
    </sheetNames>
    <sheetDataSet>
      <sheetData sheetId="0">
        <row r="3">
          <cell r="C3">
            <v>398</v>
          </cell>
          <cell r="D3">
            <v>157</v>
          </cell>
          <cell r="H3">
            <v>8</v>
          </cell>
          <cell r="I3">
            <v>4</v>
          </cell>
          <cell r="J3">
            <v>6</v>
          </cell>
          <cell r="K3">
            <v>2</v>
          </cell>
          <cell r="L3">
            <v>8</v>
          </cell>
          <cell r="M3">
            <v>8</v>
          </cell>
          <cell r="N3">
            <v>4</v>
          </cell>
          <cell r="O3">
            <v>0</v>
          </cell>
        </row>
        <row r="12">
          <cell r="H12">
            <v>8</v>
          </cell>
          <cell r="I12">
            <v>4</v>
          </cell>
          <cell r="J12">
            <v>6</v>
          </cell>
          <cell r="K12">
            <v>2</v>
          </cell>
          <cell r="L12">
            <v>8</v>
          </cell>
          <cell r="M12">
            <v>8</v>
          </cell>
          <cell r="N12">
            <v>4</v>
          </cell>
          <cell r="O12">
            <v>0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39"/>
  <sheetViews>
    <sheetView workbookViewId="0">
      <selection activeCell="R15" sqref="R15"/>
    </sheetView>
  </sheetViews>
  <sheetFormatPr defaultRowHeight="15.75" x14ac:dyDescent="0.25"/>
  <cols>
    <col min="1" max="1" width="31.875" bestFit="1" customWidth="1"/>
    <col min="2" max="2" width="17.625" style="3" bestFit="1" customWidth="1"/>
    <col min="3" max="3" width="15.5" style="3" bestFit="1" customWidth="1"/>
    <col min="4" max="10" width="2.625" customWidth="1"/>
    <col min="11" max="11" width="20.75" bestFit="1" customWidth="1"/>
    <col min="12" max="14" width="2.625" customWidth="1"/>
  </cols>
  <sheetData>
    <row r="1" spans="1:14" ht="16.5" thickBot="1" x14ac:dyDescent="0.3"/>
    <row r="2" spans="1:14" ht="16.5" thickBot="1" x14ac:dyDescent="0.3">
      <c r="A2" s="173" t="s">
        <v>0</v>
      </c>
      <c r="B2" s="227" t="s">
        <v>117</v>
      </c>
      <c r="C2" s="227" t="s">
        <v>118</v>
      </c>
      <c r="D2" s="25" t="s">
        <v>94</v>
      </c>
      <c r="E2" s="26" t="s">
        <v>95</v>
      </c>
      <c r="F2" s="27" t="s">
        <v>96</v>
      </c>
      <c r="K2" s="194" t="s">
        <v>125</v>
      </c>
      <c r="L2" s="195" t="s">
        <v>94</v>
      </c>
      <c r="M2" s="196" t="s">
        <v>95</v>
      </c>
      <c r="N2" s="197" t="s">
        <v>96</v>
      </c>
    </row>
    <row r="3" spans="1:14" x14ac:dyDescent="0.25">
      <c r="A3" s="172" t="s">
        <v>1</v>
      </c>
      <c r="B3" s="174"/>
      <c r="C3" s="175"/>
      <c r="D3" s="56">
        <f>Main!B5</f>
        <v>75</v>
      </c>
      <c r="E3" s="57">
        <f>Main!C5</f>
        <v>20</v>
      </c>
      <c r="F3" s="58">
        <f>Main!D5</f>
        <v>55</v>
      </c>
      <c r="K3" s="11" t="str">
        <f>Main!N2</f>
        <v>S1000D</v>
      </c>
      <c r="L3" s="17">
        <f>Main!N3</f>
        <v>75</v>
      </c>
      <c r="M3" s="17">
        <f>Main!O3</f>
        <v>50</v>
      </c>
      <c r="N3" s="18">
        <f>Main!P3</f>
        <v>25</v>
      </c>
    </row>
    <row r="4" spans="1:14" x14ac:dyDescent="0.25">
      <c r="A4" s="62" t="s">
        <v>2</v>
      </c>
      <c r="B4" s="176"/>
      <c r="C4" s="177"/>
      <c r="D4" s="55">
        <f>Main!B6</f>
        <v>0</v>
      </c>
      <c r="E4" s="54">
        <f>Main!C6</f>
        <v>0</v>
      </c>
      <c r="F4" s="16">
        <f>Main!D6</f>
        <v>0</v>
      </c>
      <c r="K4" s="12" t="str">
        <f>Main!Q2</f>
        <v>LOTAR</v>
      </c>
      <c r="L4" s="10">
        <f>Main!Q3</f>
        <v>75</v>
      </c>
      <c r="M4" s="10">
        <f>Main!R3</f>
        <v>50</v>
      </c>
      <c r="N4" s="19">
        <f>Main!S3</f>
        <v>25</v>
      </c>
    </row>
    <row r="5" spans="1:14" x14ac:dyDescent="0.25">
      <c r="A5" s="62" t="s">
        <v>3</v>
      </c>
      <c r="B5" s="176" t="s">
        <v>112</v>
      </c>
      <c r="C5" s="177" t="s">
        <v>113</v>
      </c>
      <c r="D5" s="55">
        <f>Main!B7</f>
        <v>83.5</v>
      </c>
      <c r="E5" s="54">
        <f>Main!C7</f>
        <v>35</v>
      </c>
      <c r="F5" s="16">
        <f>Main!D7</f>
        <v>40</v>
      </c>
      <c r="K5" s="12" t="str">
        <f>Main!AO2</f>
        <v>ISO 10303-233</v>
      </c>
      <c r="L5" s="10">
        <f>Main!AO3</f>
        <v>75</v>
      </c>
      <c r="M5" s="10">
        <f>Main!AP3</f>
        <v>20</v>
      </c>
      <c r="N5" s="19">
        <f>Main!AQ3</f>
        <v>55</v>
      </c>
    </row>
    <row r="6" spans="1:14" x14ac:dyDescent="0.25">
      <c r="A6" s="62" t="s">
        <v>4</v>
      </c>
      <c r="B6" s="176"/>
      <c r="C6" s="177"/>
      <c r="D6" s="55">
        <f>Main!B8</f>
        <v>87.5</v>
      </c>
      <c r="E6" s="54">
        <f>Main!C8</f>
        <v>60</v>
      </c>
      <c r="F6" s="16">
        <f>Main!D8</f>
        <v>27.5</v>
      </c>
      <c r="K6" s="12" t="str">
        <f>Main!AR2</f>
        <v xml:space="preserve">ISO 10303-238
</v>
      </c>
      <c r="L6" s="10">
        <f>Main!AR3</f>
        <v>75</v>
      </c>
      <c r="M6" s="10">
        <f>Main!AS3</f>
        <v>20</v>
      </c>
      <c r="N6" s="19">
        <f>Main!AT3</f>
        <v>55</v>
      </c>
    </row>
    <row r="7" spans="1:14" x14ac:dyDescent="0.25">
      <c r="A7" s="62" t="s">
        <v>5</v>
      </c>
      <c r="B7" s="176"/>
      <c r="C7" s="177"/>
      <c r="D7" s="55">
        <f>Main!B9</f>
        <v>75</v>
      </c>
      <c r="E7" s="54">
        <f>Main!C9</f>
        <v>20</v>
      </c>
      <c r="F7" s="16">
        <f>Main!D9</f>
        <v>55</v>
      </c>
      <c r="K7" s="12" t="str">
        <f>Main!AU2</f>
        <v>ISO 10303-239</v>
      </c>
      <c r="L7" s="10">
        <f>Main!AU3</f>
        <v>75</v>
      </c>
      <c r="M7" s="10">
        <f>Main!AV3</f>
        <v>20</v>
      </c>
      <c r="N7" s="19">
        <f>Main!AW3</f>
        <v>55</v>
      </c>
    </row>
    <row r="8" spans="1:14" x14ac:dyDescent="0.25">
      <c r="A8" s="62" t="s">
        <v>6</v>
      </c>
      <c r="B8" s="176"/>
      <c r="C8" s="177"/>
      <c r="D8" s="55">
        <f>Main!B10</f>
        <v>75</v>
      </c>
      <c r="E8" s="54">
        <f>Main!C10</f>
        <v>20</v>
      </c>
      <c r="F8" s="16">
        <f>Main!D10</f>
        <v>55</v>
      </c>
      <c r="K8" s="12" t="str">
        <f>Main!AX2</f>
        <v>ISO 10303-242</v>
      </c>
      <c r="L8" s="10">
        <f>Main!AX3</f>
        <v>75.537269681742046</v>
      </c>
      <c r="M8" s="10">
        <f>Main!AY3</f>
        <v>31.987179487179485</v>
      </c>
      <c r="N8" s="19">
        <f>Main!AZ3</f>
        <v>51.570512820512818</v>
      </c>
    </row>
    <row r="9" spans="1:14" x14ac:dyDescent="0.25">
      <c r="A9" s="62" t="s">
        <v>7</v>
      </c>
      <c r="B9" s="176"/>
      <c r="C9" s="177"/>
      <c r="D9" s="55">
        <f>Main!B11</f>
        <v>75</v>
      </c>
      <c r="E9" s="54">
        <f>Main!C11</f>
        <v>20</v>
      </c>
      <c r="F9" s="16">
        <f>Main!D11</f>
        <v>55</v>
      </c>
      <c r="K9" s="12" t="str">
        <f>Main!BG2</f>
        <v>ISO 14739-1 [PRC]</v>
      </c>
      <c r="L9" s="10">
        <f>Main!BG3</f>
        <v>75</v>
      </c>
      <c r="M9" s="10">
        <f>Main!BH3</f>
        <v>20</v>
      </c>
      <c r="N9" s="19">
        <f>Main!BI3</f>
        <v>55</v>
      </c>
    </row>
    <row r="10" spans="1:14" x14ac:dyDescent="0.25">
      <c r="A10" s="62" t="s">
        <v>8</v>
      </c>
      <c r="B10" s="176"/>
      <c r="C10" s="177"/>
      <c r="D10" s="55">
        <f>Main!B12</f>
        <v>75</v>
      </c>
      <c r="E10" s="54">
        <f>Main!C12</f>
        <v>20</v>
      </c>
      <c r="F10" s="16">
        <f>Main!D12</f>
        <v>55</v>
      </c>
      <c r="K10" s="12" t="str">
        <f>Main!BM2</f>
        <v>ISO 32000 [PDF]</v>
      </c>
      <c r="L10" s="10">
        <f>Main!BM3</f>
        <v>75</v>
      </c>
      <c r="M10" s="10">
        <f>Main!BN3</f>
        <v>20</v>
      </c>
      <c r="N10" s="19">
        <f>Main!BO3</f>
        <v>55</v>
      </c>
    </row>
    <row r="11" spans="1:14" x14ac:dyDescent="0.25">
      <c r="A11" s="62" t="s">
        <v>9</v>
      </c>
      <c r="B11" s="176"/>
      <c r="C11" s="177"/>
      <c r="D11" s="55">
        <f>Main!B13</f>
        <v>75</v>
      </c>
      <c r="E11" s="54">
        <f>Main!C13</f>
        <v>30</v>
      </c>
      <c r="F11" s="16">
        <f>Main!D13</f>
        <v>45</v>
      </c>
      <c r="K11" s="12" t="s">
        <v>75</v>
      </c>
      <c r="L11" s="10">
        <f>Main!BV3</f>
        <v>75</v>
      </c>
      <c r="M11" s="10">
        <f>Main!BN3</f>
        <v>20</v>
      </c>
      <c r="N11" s="19">
        <f>Main!BX3</f>
        <v>55</v>
      </c>
    </row>
    <row r="12" spans="1:14" x14ac:dyDescent="0.25">
      <c r="A12" s="62" t="s">
        <v>10</v>
      </c>
      <c r="B12" s="176"/>
      <c r="C12" s="177"/>
      <c r="D12" s="55">
        <f>Main!B14</f>
        <v>75</v>
      </c>
      <c r="E12" s="54">
        <f>Main!C14</f>
        <v>20</v>
      </c>
      <c r="F12" s="16">
        <f>Main!D14</f>
        <v>55</v>
      </c>
      <c r="K12" s="12" t="str">
        <f>Main!CE2</f>
        <v>OAGIS BODs</v>
      </c>
      <c r="L12" s="10">
        <f>Main!CE3</f>
        <v>75</v>
      </c>
      <c r="M12" s="10">
        <f>Main!CF3</f>
        <v>20</v>
      </c>
      <c r="N12" s="19">
        <f>Main!CG3</f>
        <v>55</v>
      </c>
    </row>
    <row r="13" spans="1:14" x14ac:dyDescent="0.25">
      <c r="A13" s="62" t="s">
        <v>11</v>
      </c>
      <c r="B13" s="176"/>
      <c r="C13" s="177"/>
      <c r="D13" s="55">
        <f>Main!B15</f>
        <v>75</v>
      </c>
      <c r="E13" s="54">
        <f>Main!C15</f>
        <v>27.5</v>
      </c>
      <c r="F13" s="16">
        <f>Main!D15</f>
        <v>58.75</v>
      </c>
      <c r="K13" s="12" t="str">
        <f>Main!CH2</f>
        <v>OSLC</v>
      </c>
      <c r="L13" s="10">
        <f>Main!CH3</f>
        <v>75</v>
      </c>
      <c r="M13" s="10">
        <f>Main!CI3</f>
        <v>20</v>
      </c>
      <c r="N13" s="19">
        <f>Main!CJ3</f>
        <v>55</v>
      </c>
    </row>
    <row r="14" spans="1:14" x14ac:dyDescent="0.25">
      <c r="A14" s="63" t="s">
        <v>12</v>
      </c>
      <c r="B14" s="176" t="s">
        <v>112</v>
      </c>
      <c r="C14" s="177" t="s">
        <v>114</v>
      </c>
      <c r="D14" s="55">
        <f>Main!B16</f>
        <v>57.223618090452263</v>
      </c>
      <c r="E14" s="54">
        <f>Main!C16</f>
        <v>51.92307692307692</v>
      </c>
      <c r="F14" s="16">
        <f>Main!D16</f>
        <v>39.42307692307692</v>
      </c>
      <c r="K14" s="12" t="str">
        <f>Main!CQ2</f>
        <v>SysML</v>
      </c>
      <c r="L14" s="10">
        <f>Main!CQ3</f>
        <v>75</v>
      </c>
      <c r="M14" s="10">
        <f>Main!CR3</f>
        <v>20</v>
      </c>
      <c r="N14" s="19">
        <f>Main!CS3</f>
        <v>55</v>
      </c>
    </row>
    <row r="15" spans="1:14" ht="16.5" thickBot="1" x14ac:dyDescent="0.3">
      <c r="A15" s="62" t="s">
        <v>13</v>
      </c>
      <c r="B15" s="176" t="s">
        <v>112</v>
      </c>
      <c r="C15" s="177" t="s">
        <v>114</v>
      </c>
      <c r="D15" s="55">
        <f>Main!B17</f>
        <v>75</v>
      </c>
      <c r="E15" s="54">
        <f>Main!C17</f>
        <v>35</v>
      </c>
      <c r="F15" s="16">
        <f>Main!D17</f>
        <v>40</v>
      </c>
      <c r="K15" s="14" t="str">
        <f>Main!CN2</f>
        <v>ReqIF</v>
      </c>
      <c r="L15" s="20">
        <f>Main!CN3</f>
        <v>75</v>
      </c>
      <c r="M15" s="20">
        <f>Main!CO3</f>
        <v>20</v>
      </c>
      <c r="N15" s="21">
        <f>Main!CP3</f>
        <v>55</v>
      </c>
    </row>
    <row r="16" spans="1:14" ht="16.5" thickBot="1" x14ac:dyDescent="0.3">
      <c r="A16" s="62" t="s">
        <v>14</v>
      </c>
      <c r="B16" s="176" t="s">
        <v>112</v>
      </c>
      <c r="C16" s="177" t="s">
        <v>115</v>
      </c>
      <c r="D16" s="55">
        <f>Main!B18</f>
        <v>75</v>
      </c>
      <c r="E16" s="54">
        <f>Main!C18</f>
        <v>20</v>
      </c>
      <c r="F16" s="16">
        <f>Main!D18</f>
        <v>55</v>
      </c>
    </row>
    <row r="17" spans="1:14" x14ac:dyDescent="0.25">
      <c r="A17" s="62" t="s">
        <v>15</v>
      </c>
      <c r="B17" s="176" t="s">
        <v>112</v>
      </c>
      <c r="C17" s="177" t="s">
        <v>116</v>
      </c>
      <c r="D17" s="55">
        <f>Main!B19</f>
        <v>75</v>
      </c>
      <c r="E17" s="54">
        <f>Main!C19</f>
        <v>30</v>
      </c>
      <c r="F17" s="16">
        <f>Main!D19</f>
        <v>45</v>
      </c>
      <c r="K17" s="50" t="s">
        <v>126</v>
      </c>
      <c r="L17" s="49" t="s">
        <v>94</v>
      </c>
      <c r="M17" s="47" t="s">
        <v>95</v>
      </c>
      <c r="N17" s="48" t="s">
        <v>96</v>
      </c>
    </row>
    <row r="18" spans="1:14" x14ac:dyDescent="0.25">
      <c r="A18" s="62" t="s">
        <v>16</v>
      </c>
      <c r="B18" s="176"/>
      <c r="C18" s="177"/>
      <c r="D18" s="55">
        <f>Main!B20</f>
        <v>75</v>
      </c>
      <c r="E18" s="54">
        <f>Main!C20</f>
        <v>30</v>
      </c>
      <c r="F18" s="16">
        <f>Main!D20</f>
        <v>45</v>
      </c>
      <c r="K18" s="51" t="str">
        <f>Main!T2</f>
        <v>QIF</v>
      </c>
      <c r="L18" s="12">
        <f>Main!T3</f>
        <v>75</v>
      </c>
      <c r="M18" s="10">
        <f>Main!U3</f>
        <v>20</v>
      </c>
      <c r="N18" s="19">
        <f>Main!V3</f>
        <v>55</v>
      </c>
    </row>
    <row r="19" spans="1:14" x14ac:dyDescent="0.25">
      <c r="A19" s="62" t="s">
        <v>17</v>
      </c>
      <c r="B19" s="176" t="s">
        <v>119</v>
      </c>
      <c r="C19" s="177" t="s">
        <v>113</v>
      </c>
      <c r="D19" s="55">
        <f>Main!B21</f>
        <v>75</v>
      </c>
      <c r="E19" s="54">
        <f>Main!C21</f>
        <v>20</v>
      </c>
      <c r="F19" s="16">
        <f>Main!D21</f>
        <v>55</v>
      </c>
      <c r="K19" s="51" t="str">
        <f>Main!W2</f>
        <v>ECMA-363 [U3D]</v>
      </c>
      <c r="L19" s="12">
        <f>Main!W3</f>
        <v>75</v>
      </c>
      <c r="M19" s="10">
        <f>Main!X3</f>
        <v>20</v>
      </c>
      <c r="N19" s="19">
        <f>Main!Y3</f>
        <v>55</v>
      </c>
    </row>
    <row r="20" spans="1:14" x14ac:dyDescent="0.25">
      <c r="A20" s="62" t="s">
        <v>18</v>
      </c>
      <c r="B20" s="176" t="s">
        <v>119</v>
      </c>
      <c r="C20" s="177" t="s">
        <v>113</v>
      </c>
      <c r="D20" s="55">
        <f>Main!B22</f>
        <v>75</v>
      </c>
      <c r="E20" s="54">
        <f>Main!C22</f>
        <v>20</v>
      </c>
      <c r="F20" s="16">
        <f>Main!D22</f>
        <v>55</v>
      </c>
      <c r="K20" s="51" t="str">
        <f>Main!Z2</f>
        <v>HDF5</v>
      </c>
      <c r="L20" s="12">
        <f>Main!Z3</f>
        <v>75</v>
      </c>
      <c r="M20" s="10">
        <f>Main!AA3</f>
        <v>20</v>
      </c>
      <c r="N20" s="19">
        <f>Main!AB3</f>
        <v>55</v>
      </c>
    </row>
    <row r="21" spans="1:14" x14ac:dyDescent="0.25">
      <c r="A21" s="62" t="s">
        <v>19</v>
      </c>
      <c r="B21" s="176"/>
      <c r="C21" s="177"/>
      <c r="D21" s="55">
        <f>Main!B23</f>
        <v>75</v>
      </c>
      <c r="E21" s="54">
        <f>Main!C23</f>
        <v>20</v>
      </c>
      <c r="F21" s="16">
        <f>Main!D23</f>
        <v>55</v>
      </c>
      <c r="K21" s="51" t="str">
        <f>Main!AC2</f>
        <v>ISA 95</v>
      </c>
      <c r="L21" s="12">
        <f>Main!AC3</f>
        <v>75</v>
      </c>
      <c r="M21" s="10">
        <f>Main!AD3</f>
        <v>20</v>
      </c>
      <c r="N21" s="19">
        <f>Main!AE3</f>
        <v>55</v>
      </c>
    </row>
    <row r="22" spans="1:14" x14ac:dyDescent="0.25">
      <c r="A22" s="62" t="s">
        <v>20</v>
      </c>
      <c r="B22" s="176"/>
      <c r="C22" s="177"/>
      <c r="D22" s="55">
        <f>Main!B24</f>
        <v>75</v>
      </c>
      <c r="E22" s="54">
        <f>Main!C24</f>
        <v>20</v>
      </c>
      <c r="F22" s="16">
        <f>Main!D24</f>
        <v>55</v>
      </c>
      <c r="K22" s="51" t="str">
        <f>Main!AF2</f>
        <v>IEC/ISO 62264 [B2MML]</v>
      </c>
      <c r="L22" s="12">
        <f>Main!AF3</f>
        <v>75</v>
      </c>
      <c r="M22" s="10">
        <f>Main!AG3</f>
        <v>20</v>
      </c>
      <c r="N22" s="19">
        <f>Main!AH3</f>
        <v>55</v>
      </c>
    </row>
    <row r="23" spans="1:14" x14ac:dyDescent="0.25">
      <c r="A23" s="62" t="s">
        <v>21</v>
      </c>
      <c r="B23" s="176"/>
      <c r="C23" s="177"/>
      <c r="D23" s="55">
        <f>Main!B25</f>
        <v>75</v>
      </c>
      <c r="E23" s="54">
        <f>Main!C25</f>
        <v>20</v>
      </c>
      <c r="F23" s="16">
        <f>Main!D25</f>
        <v>55</v>
      </c>
      <c r="K23" s="51" t="str">
        <f>Main!AI2</f>
        <v>ISO 10303-209</v>
      </c>
      <c r="L23" s="12">
        <f>Main!AI3</f>
        <v>75</v>
      </c>
      <c r="M23" s="10">
        <f>Main!AJ3</f>
        <v>20</v>
      </c>
      <c r="N23" s="19">
        <f>Main!AK3</f>
        <v>55</v>
      </c>
    </row>
    <row r="24" spans="1:14" x14ac:dyDescent="0.25">
      <c r="A24" s="62" t="s">
        <v>22</v>
      </c>
      <c r="B24" s="176" t="s">
        <v>119</v>
      </c>
      <c r="C24" s="177"/>
      <c r="D24" s="55">
        <f>Main!B26</f>
        <v>75</v>
      </c>
      <c r="E24" s="54">
        <f>Main!C26</f>
        <v>20</v>
      </c>
      <c r="F24" s="16">
        <f>Main!D26</f>
        <v>55</v>
      </c>
      <c r="K24" s="51" t="str">
        <f>Main!AL2</f>
        <v>ISO 10303-232</v>
      </c>
      <c r="L24" s="12">
        <f>Main!AL3</f>
        <v>75</v>
      </c>
      <c r="M24" s="12">
        <f>Main!AM3</f>
        <v>20</v>
      </c>
      <c r="N24" s="12">
        <f>Main!AN3</f>
        <v>55</v>
      </c>
    </row>
    <row r="25" spans="1:14" x14ac:dyDescent="0.25">
      <c r="A25" s="62" t="s">
        <v>23</v>
      </c>
      <c r="B25" s="176"/>
      <c r="C25" s="177"/>
      <c r="D25" s="55">
        <f>Main!B27</f>
        <v>75</v>
      </c>
      <c r="E25" s="54">
        <f>Main!C27</f>
        <v>20</v>
      </c>
      <c r="F25" s="16">
        <f>Main!D27</f>
        <v>55</v>
      </c>
      <c r="K25" s="51" t="str">
        <f>Main!BA2</f>
        <v>ISO 10303-243</v>
      </c>
      <c r="L25" s="12">
        <f>Main!BA3</f>
        <v>75</v>
      </c>
      <c r="M25" s="12">
        <f>Main!BB3</f>
        <v>20</v>
      </c>
      <c r="N25" s="12">
        <f>Main!BC3</f>
        <v>55</v>
      </c>
    </row>
    <row r="26" spans="1:14" x14ac:dyDescent="0.25">
      <c r="A26" s="62" t="s">
        <v>24</v>
      </c>
      <c r="B26" s="176"/>
      <c r="C26" s="177"/>
      <c r="D26" s="55">
        <f>Main!B28</f>
        <v>75</v>
      </c>
      <c r="E26" s="54">
        <f>Main!C28</f>
        <v>20</v>
      </c>
      <c r="F26" s="16">
        <f>Main!D28</f>
        <v>55</v>
      </c>
      <c r="K26" s="51" t="str">
        <f>Main!BD2</f>
        <v>ISO/IEC 8632 [CGM]</v>
      </c>
      <c r="L26" s="12">
        <f>Main!BD3</f>
        <v>75</v>
      </c>
      <c r="M26" s="12">
        <f>Main!BE3</f>
        <v>20</v>
      </c>
      <c r="N26" s="12">
        <f>Main!BF3</f>
        <v>55</v>
      </c>
    </row>
    <row r="27" spans="1:14" x14ac:dyDescent="0.25">
      <c r="A27" s="62" t="s">
        <v>25</v>
      </c>
      <c r="B27" s="176"/>
      <c r="C27" s="177"/>
      <c r="D27" s="55">
        <f>Main!B29</f>
        <v>75</v>
      </c>
      <c r="E27" s="54">
        <f>Main!C29</f>
        <v>20</v>
      </c>
      <c r="F27" s="16">
        <f>Main!D29</f>
        <v>55</v>
      </c>
      <c r="K27" s="51" t="str">
        <f>Main!BJ2</f>
        <v>ISO 14306 [JT]</v>
      </c>
      <c r="L27" s="12"/>
      <c r="M27" s="10"/>
      <c r="N27" s="19"/>
    </row>
    <row r="28" spans="1:14" ht="16.5" thickBot="1" x14ac:dyDescent="0.3">
      <c r="A28" s="64" t="s">
        <v>26</v>
      </c>
      <c r="B28" s="178"/>
      <c r="C28" s="179"/>
      <c r="D28" s="61">
        <f>Main!B30</f>
        <v>75</v>
      </c>
      <c r="E28" s="59">
        <f>Main!C30</f>
        <v>20</v>
      </c>
      <c r="F28" s="60">
        <f>Main!D30</f>
        <v>55</v>
      </c>
      <c r="K28" s="51" t="str">
        <f>Main!BP2</f>
        <v>ISO/IEC 10918 [JPEG]</v>
      </c>
      <c r="L28" s="12"/>
      <c r="M28" s="10"/>
      <c r="N28" s="19"/>
    </row>
    <row r="29" spans="1:14" x14ac:dyDescent="0.25">
      <c r="K29" s="51" t="str">
        <f>Main!BS2</f>
        <v>ISO 12234-2 [TIFF]</v>
      </c>
      <c r="L29" s="12"/>
      <c r="M29" s="10"/>
      <c r="N29" s="19"/>
    </row>
    <row r="30" spans="1:14" x14ac:dyDescent="0.25">
      <c r="K30" s="51" t="str">
        <f>Main!BY2</f>
        <v>Modelica</v>
      </c>
      <c r="L30" s="12">
        <f>Main!BY3</f>
        <v>75</v>
      </c>
      <c r="M30" s="12">
        <f>Main!BZ3</f>
        <v>20</v>
      </c>
      <c r="N30" s="12">
        <f>Main!CA3</f>
        <v>55</v>
      </c>
    </row>
    <row r="31" spans="1:14" x14ac:dyDescent="0.25">
      <c r="K31" s="51" t="str">
        <f>Main!CB2</f>
        <v>FMI</v>
      </c>
      <c r="L31" s="12">
        <f>Main!CB3</f>
        <v>75</v>
      </c>
      <c r="M31" s="12">
        <f>Main!CC3</f>
        <v>20</v>
      </c>
      <c r="N31" s="12">
        <f>Main!CD3</f>
        <v>55</v>
      </c>
    </row>
    <row r="32" spans="1:14" x14ac:dyDescent="0.25">
      <c r="K32" s="51" t="str">
        <f>Main!CK2</f>
        <v>EBXML</v>
      </c>
      <c r="L32" s="12"/>
      <c r="M32" s="10"/>
      <c r="N32" s="19"/>
    </row>
    <row r="33" spans="11:14" x14ac:dyDescent="0.25">
      <c r="K33" s="51" t="str">
        <f>Main!CT2</f>
        <v>UML</v>
      </c>
      <c r="L33" s="12"/>
      <c r="M33" s="10"/>
      <c r="N33" s="19"/>
    </row>
    <row r="34" spans="11:14" x14ac:dyDescent="0.25">
      <c r="K34" s="51" t="str">
        <f>Main!CW2</f>
        <v>UPDM</v>
      </c>
      <c r="L34" s="12"/>
      <c r="M34" s="10"/>
      <c r="N34" s="19"/>
    </row>
    <row r="35" spans="11:14" x14ac:dyDescent="0.25">
      <c r="K35" s="51" t="str">
        <f>Main!CZ2</f>
        <v>XMI</v>
      </c>
      <c r="L35" s="12"/>
      <c r="M35" s="10"/>
      <c r="N35" s="19"/>
    </row>
    <row r="36" spans="11:14" x14ac:dyDescent="0.25">
      <c r="K36" s="51" t="str">
        <f>Main!DC2</f>
        <v>OPC-UA</v>
      </c>
      <c r="L36" s="12"/>
      <c r="M36" s="10"/>
      <c r="N36" s="19"/>
    </row>
    <row r="37" spans="11:14" x14ac:dyDescent="0.25">
      <c r="K37" s="51" t="str">
        <f>Main!DD2</f>
        <v>OWL</v>
      </c>
      <c r="L37" s="12"/>
      <c r="M37" s="10"/>
      <c r="N37" s="19"/>
    </row>
    <row r="38" spans="11:14" x14ac:dyDescent="0.25">
      <c r="K38" s="51" t="str">
        <f>Main!DE2</f>
        <v>SVG</v>
      </c>
      <c r="L38" s="12"/>
      <c r="M38" s="10"/>
      <c r="N38" s="19"/>
    </row>
    <row r="39" spans="11:14" ht="16.5" thickBot="1" x14ac:dyDescent="0.3">
      <c r="K39" s="52" t="str">
        <f>Main!DF2</f>
        <v>XML</v>
      </c>
      <c r="L39" s="14"/>
      <c r="M39" s="20"/>
      <c r="N39" s="21"/>
    </row>
  </sheetData>
  <conditionalFormatting sqref="A1:XFD1048576">
    <cfRule type="iconSet" priority="1">
      <iconSet iconSet="4TrafficLights">
        <cfvo type="percent" val="0"/>
        <cfvo type="percent" val="25"/>
        <cfvo type="percent" val="50"/>
        <cfvo type="percent" val="75"/>
      </iconSet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DP31"/>
  <sheetViews>
    <sheetView tabSelected="1" zoomScale="80" zoomScaleNormal="80" workbookViewId="0">
      <pane xSplit="4" ySplit="3" topLeftCell="E4" activePane="bottomRight" state="frozenSplit"/>
      <selection pane="topRight" activeCell="AS1" sqref="AS1"/>
      <selection pane="bottomLeft" activeCell="A18" sqref="A18"/>
      <selection pane="bottomRight" activeCell="BT16" sqref="BT16"/>
    </sheetView>
  </sheetViews>
  <sheetFormatPr defaultColWidth="11" defaultRowHeight="15.75" outlineLevelRow="1" outlineLevelCol="1" x14ac:dyDescent="0.25"/>
  <cols>
    <col min="1" max="1" width="38" style="2" bestFit="1" customWidth="1"/>
    <col min="2" max="13" width="2.5" customWidth="1"/>
    <col min="14" max="22" width="2.5" style="1" customWidth="1" outlineLevel="1"/>
    <col min="23" max="55" width="2.5" customWidth="1" outlineLevel="1"/>
    <col min="56" max="61" width="2.625" customWidth="1" outlineLevel="1"/>
    <col min="62" max="106" width="2.5" customWidth="1" outlineLevel="1"/>
    <col min="107" max="119" width="5.875" customWidth="1" outlineLevel="1"/>
  </cols>
  <sheetData>
    <row r="1" spans="1:120" s="1" customFormat="1" ht="16.5" customHeight="1" thickBot="1" x14ac:dyDescent="0.3">
      <c r="A1" s="255"/>
      <c r="B1" s="256"/>
      <c r="C1" s="256"/>
      <c r="D1" s="256"/>
      <c r="E1" s="240" t="s">
        <v>120</v>
      </c>
      <c r="F1" s="241"/>
      <c r="G1" s="241"/>
      <c r="H1" s="241"/>
      <c r="I1" s="241"/>
      <c r="J1" s="241"/>
      <c r="K1" s="241"/>
      <c r="L1" s="241"/>
      <c r="M1" s="242"/>
      <c r="N1" s="252" t="s">
        <v>69</v>
      </c>
      <c r="O1" s="262"/>
      <c r="P1" s="262"/>
      <c r="Q1" s="262"/>
      <c r="R1" s="262"/>
      <c r="S1" s="263"/>
      <c r="T1" s="262" t="s">
        <v>58</v>
      </c>
      <c r="U1" s="262"/>
      <c r="V1" s="263"/>
      <c r="W1" s="252" t="s">
        <v>66</v>
      </c>
      <c r="X1" s="262"/>
      <c r="Y1" s="263"/>
      <c r="Z1" s="252" t="s">
        <v>70</v>
      </c>
      <c r="AA1" s="262"/>
      <c r="AB1" s="263"/>
      <c r="AC1" s="252" t="s">
        <v>73</v>
      </c>
      <c r="AD1" s="262"/>
      <c r="AE1" s="263"/>
      <c r="AF1" s="270" t="s">
        <v>60</v>
      </c>
      <c r="AG1" s="262"/>
      <c r="AH1" s="262"/>
      <c r="AI1" s="262"/>
      <c r="AJ1" s="262"/>
      <c r="AK1" s="262"/>
      <c r="AL1" s="262"/>
      <c r="AM1" s="262"/>
      <c r="AN1" s="262"/>
      <c r="AO1" s="262"/>
      <c r="AP1" s="262"/>
      <c r="AQ1" s="262"/>
      <c r="AR1" s="262"/>
      <c r="AS1" s="262"/>
      <c r="AT1" s="262"/>
      <c r="AU1" s="262"/>
      <c r="AV1" s="262"/>
      <c r="AW1" s="262"/>
      <c r="AX1" s="262"/>
      <c r="AY1" s="262"/>
      <c r="AZ1" s="262"/>
      <c r="BA1" s="262"/>
      <c r="BB1" s="262"/>
      <c r="BC1" s="262"/>
      <c r="BD1" s="262"/>
      <c r="BE1" s="262"/>
      <c r="BF1" s="262"/>
      <c r="BG1" s="262"/>
      <c r="BH1" s="262"/>
      <c r="BI1" s="262"/>
      <c r="BJ1" s="262"/>
      <c r="BK1" s="262"/>
      <c r="BL1" s="262"/>
      <c r="BM1" s="262"/>
      <c r="BN1" s="262"/>
      <c r="BO1" s="262"/>
      <c r="BP1" s="262"/>
      <c r="BQ1" s="262"/>
      <c r="BR1" s="262"/>
      <c r="BS1" s="262"/>
      <c r="BT1" s="262"/>
      <c r="BU1" s="262"/>
      <c r="BV1" s="262"/>
      <c r="BW1" s="262"/>
      <c r="BX1" s="263"/>
      <c r="BY1" s="252" t="s">
        <v>41</v>
      </c>
      <c r="BZ1" s="262"/>
      <c r="CA1" s="262"/>
      <c r="CB1" s="262"/>
      <c r="CC1" s="262"/>
      <c r="CD1" s="263"/>
      <c r="CE1" s="252" t="s">
        <v>71</v>
      </c>
      <c r="CF1" s="241"/>
      <c r="CG1" s="241"/>
      <c r="CH1" s="241"/>
      <c r="CI1" s="241"/>
      <c r="CJ1" s="241"/>
      <c r="CK1" s="241"/>
      <c r="CL1" s="241"/>
      <c r="CM1" s="242"/>
      <c r="CN1" s="252" t="s">
        <v>61</v>
      </c>
      <c r="CO1" s="241"/>
      <c r="CP1" s="241"/>
      <c r="CQ1" s="241"/>
      <c r="CR1" s="241"/>
      <c r="CS1" s="241"/>
      <c r="CT1" s="253"/>
      <c r="CU1" s="253"/>
      <c r="CV1" s="253"/>
      <c r="CW1" s="253"/>
      <c r="CX1" s="253"/>
      <c r="CY1" s="253"/>
      <c r="CZ1" s="253"/>
      <c r="DA1" s="253"/>
      <c r="DB1" s="254"/>
      <c r="DC1" s="162" t="s">
        <v>76</v>
      </c>
      <c r="DD1" s="275" t="s">
        <v>62</v>
      </c>
      <c r="DE1" s="276"/>
      <c r="DF1" s="277"/>
      <c r="DG1" s="275" t="s">
        <v>103</v>
      </c>
      <c r="DH1" s="276"/>
      <c r="DI1" s="276"/>
      <c r="DJ1" s="276"/>
      <c r="DK1" s="276"/>
      <c r="DL1" s="276"/>
      <c r="DM1" s="276"/>
      <c r="DN1" s="276"/>
      <c r="DO1" s="277"/>
    </row>
    <row r="2" spans="1:120" s="29" customFormat="1" ht="131.25" customHeight="1" thickBot="1" x14ac:dyDescent="0.3">
      <c r="A2" s="256"/>
      <c r="B2" s="256"/>
      <c r="C2" s="256"/>
      <c r="D2" s="256"/>
      <c r="E2" s="243" t="s">
        <v>121</v>
      </c>
      <c r="F2" s="244"/>
      <c r="G2" s="245"/>
      <c r="H2" s="246" t="s">
        <v>122</v>
      </c>
      <c r="I2" s="244"/>
      <c r="J2" s="247"/>
      <c r="K2" s="243" t="s">
        <v>123</v>
      </c>
      <c r="L2" s="244"/>
      <c r="M2" s="245"/>
      <c r="N2" s="272" t="s">
        <v>48</v>
      </c>
      <c r="O2" s="272"/>
      <c r="P2" s="273"/>
      <c r="Q2" s="271" t="s">
        <v>59</v>
      </c>
      <c r="R2" s="272"/>
      <c r="S2" s="273"/>
      <c r="T2" s="265" t="s">
        <v>54</v>
      </c>
      <c r="U2" s="265"/>
      <c r="V2" s="266"/>
      <c r="W2" s="264" t="s">
        <v>65</v>
      </c>
      <c r="X2" s="265"/>
      <c r="Y2" s="266"/>
      <c r="Z2" s="264" t="s">
        <v>46</v>
      </c>
      <c r="AA2" s="265"/>
      <c r="AB2" s="266"/>
      <c r="AC2" s="264" t="s">
        <v>55</v>
      </c>
      <c r="AD2" s="265"/>
      <c r="AE2" s="266"/>
      <c r="AF2" s="264" t="s">
        <v>72</v>
      </c>
      <c r="AG2" s="265"/>
      <c r="AH2" s="268"/>
      <c r="AI2" s="267" t="s">
        <v>63</v>
      </c>
      <c r="AJ2" s="265"/>
      <c r="AK2" s="268"/>
      <c r="AL2" s="269" t="s">
        <v>57</v>
      </c>
      <c r="AM2" s="265"/>
      <c r="AN2" s="265"/>
      <c r="AO2" s="271" t="s">
        <v>42</v>
      </c>
      <c r="AP2" s="272"/>
      <c r="AQ2" s="273"/>
      <c r="AR2" s="274" t="s">
        <v>107</v>
      </c>
      <c r="AS2" s="272"/>
      <c r="AT2" s="272"/>
      <c r="AU2" s="271" t="s">
        <v>32</v>
      </c>
      <c r="AV2" s="272"/>
      <c r="AW2" s="273"/>
      <c r="AX2" s="271" t="s">
        <v>33</v>
      </c>
      <c r="AY2" s="272"/>
      <c r="AZ2" s="273"/>
      <c r="BA2" s="265" t="s">
        <v>106</v>
      </c>
      <c r="BB2" s="265"/>
      <c r="BC2" s="268"/>
      <c r="BD2" s="257" t="s">
        <v>64</v>
      </c>
      <c r="BE2" s="258"/>
      <c r="BF2" s="258"/>
      <c r="BG2" s="248" t="s">
        <v>108</v>
      </c>
      <c r="BH2" s="259"/>
      <c r="BI2" s="260"/>
      <c r="BJ2" s="236" t="s">
        <v>67</v>
      </c>
      <c r="BK2" s="237"/>
      <c r="BL2" s="238"/>
      <c r="BM2" s="248" t="s">
        <v>109</v>
      </c>
      <c r="BN2" s="249"/>
      <c r="BO2" s="250"/>
      <c r="BP2" s="236" t="s">
        <v>74</v>
      </c>
      <c r="BQ2" s="237"/>
      <c r="BR2" s="237"/>
      <c r="BS2" s="236" t="s">
        <v>127</v>
      </c>
      <c r="BT2" s="237"/>
      <c r="BU2" s="238"/>
      <c r="BV2" s="251" t="s">
        <v>75</v>
      </c>
      <c r="BW2" s="237"/>
      <c r="BX2" s="238"/>
      <c r="BY2" s="236" t="s">
        <v>41</v>
      </c>
      <c r="BZ2" s="258"/>
      <c r="CA2" s="258"/>
      <c r="CB2" s="236" t="s">
        <v>39</v>
      </c>
      <c r="CC2" s="258"/>
      <c r="CD2" s="261"/>
      <c r="CE2" s="251" t="s">
        <v>51</v>
      </c>
      <c r="CF2" s="237"/>
      <c r="CG2" s="238"/>
      <c r="CH2" s="251" t="s">
        <v>38</v>
      </c>
      <c r="CI2" s="237"/>
      <c r="CJ2" s="238"/>
      <c r="CK2" s="236" t="s">
        <v>52</v>
      </c>
      <c r="CL2" s="237"/>
      <c r="CM2" s="238"/>
      <c r="CN2" s="278" t="s">
        <v>27</v>
      </c>
      <c r="CO2" s="279"/>
      <c r="CP2" s="281"/>
      <c r="CQ2" s="278" t="s">
        <v>34</v>
      </c>
      <c r="CR2" s="279"/>
      <c r="CS2" s="280"/>
      <c r="CT2" s="232" t="s">
        <v>35</v>
      </c>
      <c r="CU2" s="233"/>
      <c r="CV2" s="239"/>
      <c r="CW2" s="232" t="s">
        <v>36</v>
      </c>
      <c r="CX2" s="233"/>
      <c r="CY2" s="234"/>
      <c r="CZ2" s="235" t="s">
        <v>37</v>
      </c>
      <c r="DA2" s="233"/>
      <c r="DB2" s="234"/>
      <c r="DC2" s="186" t="s">
        <v>53</v>
      </c>
      <c r="DD2" s="83" t="s">
        <v>40</v>
      </c>
      <c r="DE2" s="82" t="s">
        <v>47</v>
      </c>
      <c r="DF2" s="84" t="s">
        <v>50</v>
      </c>
      <c r="DG2" s="83" t="s">
        <v>104</v>
      </c>
      <c r="DH2" s="82" t="s">
        <v>28</v>
      </c>
      <c r="DI2" s="82" t="s">
        <v>29</v>
      </c>
      <c r="DJ2" s="82" t="s">
        <v>30</v>
      </c>
      <c r="DK2" s="82" t="s">
        <v>31</v>
      </c>
      <c r="DL2" s="82" t="s">
        <v>43</v>
      </c>
      <c r="DM2" s="82" t="s">
        <v>44</v>
      </c>
      <c r="DN2" s="82" t="s">
        <v>49</v>
      </c>
      <c r="DO2" s="84" t="s">
        <v>45</v>
      </c>
      <c r="DP2" s="28"/>
    </row>
    <row r="3" spans="1:120" s="1" customFormat="1" ht="16.5" thickBot="1" x14ac:dyDescent="0.3">
      <c r="A3" s="256"/>
      <c r="B3" s="256"/>
      <c r="C3" s="256"/>
      <c r="D3" s="256"/>
      <c r="E3" s="211"/>
      <c r="F3" s="210"/>
      <c r="G3" s="212"/>
      <c r="H3" s="216"/>
      <c r="I3" s="210"/>
      <c r="J3" s="213"/>
      <c r="K3" s="211"/>
      <c r="L3" s="210"/>
      <c r="M3" s="212"/>
      <c r="N3" s="40">
        <f>AVERAGE(N15)</f>
        <v>75</v>
      </c>
      <c r="O3" s="40">
        <f t="shared" ref="O3:P3" si="0">AVERAGE(O15)</f>
        <v>50</v>
      </c>
      <c r="P3" s="187">
        <f t="shared" si="0"/>
        <v>25</v>
      </c>
      <c r="Q3" s="65">
        <f>AVERAGE(Q13,Q16,Q17,Q19,Q20)</f>
        <v>75</v>
      </c>
      <c r="R3" s="22">
        <f t="shared" ref="R3:S3" si="1">AVERAGE(R13,R16,R17,R19,R20)</f>
        <v>50</v>
      </c>
      <c r="S3" s="67">
        <f t="shared" si="1"/>
        <v>25</v>
      </c>
      <c r="T3" s="65">
        <f>AVERAGE(T27)</f>
        <v>75</v>
      </c>
      <c r="U3" s="22">
        <f t="shared" ref="U3:V3" si="2">AVERAGE(U27)</f>
        <v>20</v>
      </c>
      <c r="V3" s="67">
        <f t="shared" si="2"/>
        <v>55</v>
      </c>
      <c r="W3" s="65">
        <f>AVERAGE(W23,W24)</f>
        <v>75</v>
      </c>
      <c r="X3" s="22">
        <f t="shared" ref="X3:Y3" si="3">AVERAGE(X23,X24)</f>
        <v>20</v>
      </c>
      <c r="Y3" s="67">
        <f t="shared" si="3"/>
        <v>55</v>
      </c>
      <c r="Z3" s="65">
        <f>AVERAGE(Z13)</f>
        <v>75</v>
      </c>
      <c r="AA3" s="22">
        <f t="shared" ref="AA3:AB3" si="4">AVERAGE(AA13)</f>
        <v>20</v>
      </c>
      <c r="AB3" s="67">
        <f t="shared" si="4"/>
        <v>55</v>
      </c>
      <c r="AC3" s="40">
        <f>AVERAGE(AC28,AC29)</f>
        <v>75</v>
      </c>
      <c r="AD3" s="22">
        <f t="shared" ref="AD3:AE3" si="5">AVERAGE(AD28,AD29)</f>
        <v>20</v>
      </c>
      <c r="AE3" s="39">
        <f t="shared" si="5"/>
        <v>55</v>
      </c>
      <c r="AF3" s="65">
        <f>AVERAGE(AF26,AF28,AF29)</f>
        <v>75</v>
      </c>
      <c r="AG3" s="22">
        <f t="shared" ref="AG3:AH3" si="6">AVERAGE(AG26,AG28,AG29)</f>
        <v>20</v>
      </c>
      <c r="AH3" s="67">
        <f t="shared" si="6"/>
        <v>55</v>
      </c>
      <c r="AI3" s="65">
        <f>AVERAGE(AI13)</f>
        <v>75</v>
      </c>
      <c r="AJ3" s="22">
        <f t="shared" ref="AJ3:AK3" si="7">AVERAGE(AJ13)</f>
        <v>20</v>
      </c>
      <c r="AK3" s="67">
        <f t="shared" si="7"/>
        <v>55</v>
      </c>
      <c r="AL3" s="65">
        <f>AVERAGE(AL15,AL19,AL20)</f>
        <v>75</v>
      </c>
      <c r="AM3" s="22">
        <f t="shared" ref="AM3:AN3" si="8">AVERAGE(AM15,AM19,AM20)</f>
        <v>20</v>
      </c>
      <c r="AN3" s="39">
        <f t="shared" si="8"/>
        <v>55</v>
      </c>
      <c r="AO3" s="65">
        <f>AVERAGE(AO5,AO10,AO11,AO12)</f>
        <v>75</v>
      </c>
      <c r="AP3" s="22">
        <f t="shared" ref="AP3:AQ3" si="9">AVERAGE(AP5,AP10,AP11,AP12)</f>
        <v>20</v>
      </c>
      <c r="AQ3" s="67">
        <f t="shared" si="9"/>
        <v>55</v>
      </c>
      <c r="AR3" s="40">
        <f>AVERAGE(AR26)</f>
        <v>75</v>
      </c>
      <c r="AS3" s="22">
        <f t="shared" ref="AS3:AT3" si="10">AVERAGE(AS26)</f>
        <v>20</v>
      </c>
      <c r="AT3" s="39">
        <f t="shared" si="10"/>
        <v>55</v>
      </c>
      <c r="AU3" s="65">
        <f>AVERAGE(AU7,AU8,AU9,AU10,AU15,AU19,AU20,AU21,AU22)</f>
        <v>75</v>
      </c>
      <c r="AV3" s="22">
        <f t="shared" ref="AV3:AW3" si="11">AVERAGE(AV7,AV8,AV9,AV10,AV15,AV19,AV20,AV21,AV22)</f>
        <v>20</v>
      </c>
      <c r="AW3" s="67">
        <f t="shared" si="11"/>
        <v>55</v>
      </c>
      <c r="AX3" s="65">
        <f>AVERAGE(AX7:AX9,AX15:AX18,AX21:AX24,AX30)</f>
        <v>75.537269681742046</v>
      </c>
      <c r="AY3" s="22">
        <f t="shared" ref="AY3:AZ3" si="12">AVERAGE(AY7:AY9,AY15:AY18,AY21:AY24,AY30)</f>
        <v>31.987179487179485</v>
      </c>
      <c r="AZ3" s="67">
        <f t="shared" si="12"/>
        <v>51.570512820512818</v>
      </c>
      <c r="BA3" s="40">
        <f>AVERAGE(BA14)</f>
        <v>75</v>
      </c>
      <c r="BB3" s="22">
        <f t="shared" ref="BB3:BC3" si="13">AVERAGE(BB14)</f>
        <v>20</v>
      </c>
      <c r="BC3" s="67">
        <f t="shared" si="13"/>
        <v>55</v>
      </c>
      <c r="BD3" s="40">
        <f>AVERAGE(BD15,BD30)</f>
        <v>75</v>
      </c>
      <c r="BE3" s="22">
        <f t="shared" ref="BE3:BF3" si="14">AVERAGE(BE15,BE30)</f>
        <v>20</v>
      </c>
      <c r="BF3" s="39">
        <f t="shared" si="14"/>
        <v>55</v>
      </c>
      <c r="BG3" s="65">
        <f>AVERAGE(BG18,BG23,BG24)</f>
        <v>75</v>
      </c>
      <c r="BH3" s="22">
        <f t="shared" ref="BH3:BI3" si="15">AVERAGE(BH18,BH23,BH24)</f>
        <v>20</v>
      </c>
      <c r="BI3" s="67">
        <f t="shared" si="15"/>
        <v>55</v>
      </c>
      <c r="BJ3" s="184">
        <f>AVERAGE(BJ18,BJ24)</f>
        <v>75</v>
      </c>
      <c r="BK3" s="184">
        <f t="shared" ref="BK3:BL3" si="16">AVERAGE(BK18,BK24)</f>
        <v>20</v>
      </c>
      <c r="BL3" s="184">
        <f t="shared" si="16"/>
        <v>55</v>
      </c>
      <c r="BM3" s="65">
        <f>AVERAGE(BM23,BM24,BM30)</f>
        <v>75</v>
      </c>
      <c r="BN3" s="22">
        <f t="shared" ref="BN3:BO3" si="17">AVERAGE(BN23,BN24,BN30)</f>
        <v>20</v>
      </c>
      <c r="BO3" s="67">
        <f t="shared" si="17"/>
        <v>55</v>
      </c>
      <c r="BP3" s="184">
        <f>AVERAGE(BP30)</f>
        <v>75</v>
      </c>
      <c r="BQ3" s="184">
        <f t="shared" ref="BQ3:BR3" si="18">AVERAGE(BQ30)</f>
        <v>20</v>
      </c>
      <c r="BR3" s="184">
        <f t="shared" si="18"/>
        <v>55</v>
      </c>
      <c r="BS3" s="183">
        <f>AVERAGE(BS23,BS24,BS30)</f>
        <v>75</v>
      </c>
      <c r="BT3" s="183">
        <f t="shared" ref="BT3:BU3" si="19">AVERAGE(BT23,BT24,BT30)</f>
        <v>20</v>
      </c>
      <c r="BU3" s="183">
        <f t="shared" si="19"/>
        <v>55</v>
      </c>
      <c r="BV3" s="163">
        <f>AVERAGE(BV16,BV23,BV26)</f>
        <v>75</v>
      </c>
      <c r="BW3" s="163">
        <f t="shared" ref="BW3:BX3" si="20">AVERAGE(BW16,BW23,BW26)</f>
        <v>20</v>
      </c>
      <c r="BX3" s="163">
        <f t="shared" si="20"/>
        <v>55</v>
      </c>
      <c r="BY3" s="22">
        <f>AVERAGE(BY10,BY11,BY12,BY14)</f>
        <v>75</v>
      </c>
      <c r="BZ3" s="22">
        <f t="shared" ref="BZ3:CD3" si="21">AVERAGE(BZ10,BZ11,BZ12,BZ14)</f>
        <v>20</v>
      </c>
      <c r="CA3" s="39">
        <f t="shared" si="21"/>
        <v>55</v>
      </c>
      <c r="CB3" s="65">
        <f t="shared" si="21"/>
        <v>75</v>
      </c>
      <c r="CC3" s="22">
        <f t="shared" si="21"/>
        <v>20</v>
      </c>
      <c r="CD3" s="67">
        <f t="shared" si="21"/>
        <v>55</v>
      </c>
      <c r="CE3" s="183">
        <f>AVERAGE(CE25)</f>
        <v>75</v>
      </c>
      <c r="CF3" s="183">
        <f>AVERAGE(CF25)</f>
        <v>20</v>
      </c>
      <c r="CG3" s="183">
        <f>AVERAGE(CG25)</f>
        <v>55</v>
      </c>
      <c r="CH3" s="163">
        <f>AVERAGE(CH10:CH12,CH14:CH15)</f>
        <v>75</v>
      </c>
      <c r="CI3" s="163">
        <f t="shared" ref="CI3:CJ3" si="22">AVERAGE(CI10:CI12,CI14:CI15)</f>
        <v>20</v>
      </c>
      <c r="CJ3" s="163">
        <f t="shared" si="22"/>
        <v>55</v>
      </c>
      <c r="CK3" s="127"/>
      <c r="CL3" s="127"/>
      <c r="CM3" s="127"/>
      <c r="CN3" s="65">
        <f>AVERAGE(CN5)</f>
        <v>75</v>
      </c>
      <c r="CO3" s="65">
        <f t="shared" ref="CO3:CP3" si="23">AVERAGE(CO5)</f>
        <v>20</v>
      </c>
      <c r="CP3" s="163">
        <f t="shared" si="23"/>
        <v>55</v>
      </c>
      <c r="CQ3" s="65">
        <f>AVERAGE(CQ10:CQ12,CQ14)</f>
        <v>75</v>
      </c>
      <c r="CR3" s="22">
        <f t="shared" ref="CR3:CS3" si="24">AVERAGE(CR10:CR12,CR14)</f>
        <v>20</v>
      </c>
      <c r="CS3" s="39">
        <f t="shared" si="24"/>
        <v>55</v>
      </c>
      <c r="CT3" s="110"/>
      <c r="CU3" s="134"/>
      <c r="CV3" s="137"/>
      <c r="CW3" s="110"/>
      <c r="CX3" s="134"/>
      <c r="CY3" s="135"/>
      <c r="CZ3" s="111"/>
      <c r="DA3" s="134"/>
      <c r="DB3" s="135"/>
      <c r="DC3" s="209"/>
      <c r="DD3" s="183"/>
      <c r="DE3" s="184"/>
      <c r="DF3" s="187"/>
      <c r="DG3" s="183"/>
      <c r="DH3" s="184"/>
      <c r="DI3" s="184"/>
      <c r="DJ3" s="184"/>
      <c r="DK3" s="184"/>
      <c r="DL3" s="184"/>
      <c r="DM3" s="184"/>
      <c r="DN3" s="184"/>
      <c r="DO3" s="187"/>
    </row>
    <row r="4" spans="1:120" ht="16.5" outlineLevel="1" thickBot="1" x14ac:dyDescent="0.3">
      <c r="A4" s="85" t="s">
        <v>0</v>
      </c>
      <c r="B4" s="71" t="s">
        <v>94</v>
      </c>
      <c r="C4" s="72" t="s">
        <v>95</v>
      </c>
      <c r="D4" s="86" t="s">
        <v>96</v>
      </c>
      <c r="E4" s="40" t="s">
        <v>94</v>
      </c>
      <c r="F4" s="22" t="s">
        <v>95</v>
      </c>
      <c r="G4" s="67" t="s">
        <v>96</v>
      </c>
      <c r="H4" s="40" t="s">
        <v>94</v>
      </c>
      <c r="I4" s="22" t="s">
        <v>95</v>
      </c>
      <c r="J4" s="67" t="s">
        <v>96</v>
      </c>
      <c r="K4" s="40" t="s">
        <v>94</v>
      </c>
      <c r="L4" s="22" t="s">
        <v>95</v>
      </c>
      <c r="M4" s="67" t="s">
        <v>96</v>
      </c>
      <c r="N4" s="40" t="s">
        <v>94</v>
      </c>
      <c r="O4" s="22" t="s">
        <v>95</v>
      </c>
      <c r="P4" s="67" t="s">
        <v>96</v>
      </c>
      <c r="Q4" s="65" t="s">
        <v>94</v>
      </c>
      <c r="R4" s="22" t="s">
        <v>95</v>
      </c>
      <c r="S4" s="67" t="s">
        <v>96</v>
      </c>
      <c r="T4" s="65" t="s">
        <v>94</v>
      </c>
      <c r="U4" s="22" t="s">
        <v>95</v>
      </c>
      <c r="V4" s="67" t="s">
        <v>96</v>
      </c>
      <c r="W4" s="65" t="s">
        <v>94</v>
      </c>
      <c r="X4" s="22" t="s">
        <v>95</v>
      </c>
      <c r="Y4" s="67" t="s">
        <v>96</v>
      </c>
      <c r="Z4" s="65" t="s">
        <v>94</v>
      </c>
      <c r="AA4" s="22" t="s">
        <v>95</v>
      </c>
      <c r="AB4" s="67" t="s">
        <v>96</v>
      </c>
      <c r="AC4" s="65" t="s">
        <v>94</v>
      </c>
      <c r="AD4" s="22" t="s">
        <v>95</v>
      </c>
      <c r="AE4" s="67" t="s">
        <v>96</v>
      </c>
      <c r="AF4" s="65" t="s">
        <v>94</v>
      </c>
      <c r="AG4" s="22" t="s">
        <v>95</v>
      </c>
      <c r="AH4" s="67" t="s">
        <v>96</v>
      </c>
      <c r="AI4" s="65" t="s">
        <v>94</v>
      </c>
      <c r="AJ4" s="22" t="s">
        <v>95</v>
      </c>
      <c r="AK4" s="67" t="s">
        <v>96</v>
      </c>
      <c r="AL4" s="65" t="s">
        <v>94</v>
      </c>
      <c r="AM4" s="22" t="s">
        <v>95</v>
      </c>
      <c r="AN4" s="39" t="s">
        <v>96</v>
      </c>
      <c r="AO4" s="65" t="s">
        <v>94</v>
      </c>
      <c r="AP4" s="22" t="s">
        <v>95</v>
      </c>
      <c r="AQ4" s="67" t="s">
        <v>96</v>
      </c>
      <c r="AR4" s="40" t="s">
        <v>94</v>
      </c>
      <c r="AS4" s="22" t="s">
        <v>95</v>
      </c>
      <c r="AT4" s="39" t="s">
        <v>96</v>
      </c>
      <c r="AU4" s="65" t="s">
        <v>94</v>
      </c>
      <c r="AV4" s="22" t="s">
        <v>95</v>
      </c>
      <c r="AW4" s="67" t="s">
        <v>96</v>
      </c>
      <c r="AX4" s="65" t="s">
        <v>94</v>
      </c>
      <c r="AY4" s="22" t="s">
        <v>95</v>
      </c>
      <c r="AZ4" s="67" t="s">
        <v>96</v>
      </c>
      <c r="BA4" s="40" t="s">
        <v>94</v>
      </c>
      <c r="BB4" s="22" t="s">
        <v>95</v>
      </c>
      <c r="BC4" s="67" t="s">
        <v>96</v>
      </c>
      <c r="BD4" s="65" t="s">
        <v>94</v>
      </c>
      <c r="BE4" s="22" t="s">
        <v>95</v>
      </c>
      <c r="BF4" s="39" t="s">
        <v>96</v>
      </c>
      <c r="BG4" s="65" t="s">
        <v>94</v>
      </c>
      <c r="BH4" s="22" t="s">
        <v>95</v>
      </c>
      <c r="BI4" s="67" t="s">
        <v>96</v>
      </c>
      <c r="BJ4" s="228" t="s">
        <v>94</v>
      </c>
      <c r="BK4" s="229" t="s">
        <v>95</v>
      </c>
      <c r="BL4" s="230" t="s">
        <v>96</v>
      </c>
      <c r="BM4" s="65" t="s">
        <v>94</v>
      </c>
      <c r="BN4" s="22" t="s">
        <v>95</v>
      </c>
      <c r="BO4" s="67" t="s">
        <v>96</v>
      </c>
      <c r="BP4" s="65" t="s">
        <v>94</v>
      </c>
      <c r="BQ4" s="22" t="s">
        <v>95</v>
      </c>
      <c r="BR4" s="39" t="s">
        <v>96</v>
      </c>
      <c r="BS4" s="65" t="s">
        <v>94</v>
      </c>
      <c r="BT4" s="22" t="s">
        <v>95</v>
      </c>
      <c r="BU4" s="67" t="s">
        <v>96</v>
      </c>
      <c r="BV4" s="65" t="s">
        <v>94</v>
      </c>
      <c r="BW4" s="22" t="s">
        <v>95</v>
      </c>
      <c r="BX4" s="67" t="s">
        <v>96</v>
      </c>
      <c r="BY4" s="65" t="s">
        <v>94</v>
      </c>
      <c r="BZ4" s="22" t="s">
        <v>95</v>
      </c>
      <c r="CA4" s="39" t="s">
        <v>96</v>
      </c>
      <c r="CB4" s="65" t="s">
        <v>94</v>
      </c>
      <c r="CC4" s="22" t="s">
        <v>95</v>
      </c>
      <c r="CD4" s="67" t="s">
        <v>96</v>
      </c>
      <c r="CE4" s="228" t="s">
        <v>94</v>
      </c>
      <c r="CF4" s="229" t="s">
        <v>95</v>
      </c>
      <c r="CG4" s="230" t="s">
        <v>96</v>
      </c>
      <c r="CH4" s="228" t="s">
        <v>94</v>
      </c>
      <c r="CI4" s="229" t="s">
        <v>95</v>
      </c>
      <c r="CJ4" s="230" t="s">
        <v>96</v>
      </c>
      <c r="CK4" s="65" t="s">
        <v>94</v>
      </c>
      <c r="CL4" s="22" t="s">
        <v>95</v>
      </c>
      <c r="CM4" s="67" t="s">
        <v>96</v>
      </c>
      <c r="CN4" s="73" t="s">
        <v>94</v>
      </c>
      <c r="CO4" s="23" t="s">
        <v>95</v>
      </c>
      <c r="CP4" s="74" t="s">
        <v>96</v>
      </c>
      <c r="CQ4" s="73" t="s">
        <v>94</v>
      </c>
      <c r="CR4" s="23" t="s">
        <v>95</v>
      </c>
      <c r="CS4" s="219" t="s">
        <v>96</v>
      </c>
      <c r="CT4" s="115" t="s">
        <v>94</v>
      </c>
      <c r="CU4" s="116" t="s">
        <v>95</v>
      </c>
      <c r="CV4" s="114" t="s">
        <v>96</v>
      </c>
      <c r="CW4" s="115" t="s">
        <v>94</v>
      </c>
      <c r="CX4" s="116" t="s">
        <v>95</v>
      </c>
      <c r="CY4" s="117" t="s">
        <v>96</v>
      </c>
      <c r="CZ4" s="129" t="s">
        <v>94</v>
      </c>
      <c r="DA4" s="116" t="s">
        <v>95</v>
      </c>
      <c r="DB4" s="117" t="s">
        <v>96</v>
      </c>
      <c r="DC4" s="187"/>
      <c r="DD4" s="65"/>
      <c r="DE4" s="22"/>
      <c r="DF4" s="67"/>
      <c r="DG4" s="65"/>
      <c r="DH4" s="22"/>
      <c r="DI4" s="22"/>
      <c r="DJ4" s="22"/>
      <c r="DK4" s="22"/>
      <c r="DL4" s="22"/>
      <c r="DM4" s="22"/>
      <c r="DN4" s="22"/>
      <c r="DO4" s="67"/>
    </row>
    <row r="5" spans="1:120" ht="16.5" outlineLevel="1" thickBot="1" x14ac:dyDescent="0.3">
      <c r="A5" s="87" t="s">
        <v>1</v>
      </c>
      <c r="B5" s="88">
        <f>AVERAGE(AO5)</f>
        <v>75</v>
      </c>
      <c r="C5" s="89">
        <f>AVERAGE(AP5)</f>
        <v>20</v>
      </c>
      <c r="D5" s="90">
        <f>AVERAGE(AQ5)</f>
        <v>55</v>
      </c>
      <c r="E5" s="107"/>
      <c r="F5" s="105"/>
      <c r="G5" s="106"/>
      <c r="H5" s="107"/>
      <c r="I5" s="105"/>
      <c r="J5" s="118"/>
      <c r="K5" s="104"/>
      <c r="L5" s="105"/>
      <c r="M5" s="106"/>
      <c r="N5" s="91"/>
      <c r="O5" s="89"/>
      <c r="P5" s="90"/>
      <c r="Q5" s="91"/>
      <c r="R5" s="91"/>
      <c r="S5" s="92"/>
      <c r="T5" s="88"/>
      <c r="U5" s="89"/>
      <c r="V5" s="90"/>
      <c r="W5" s="88"/>
      <c r="X5" s="91"/>
      <c r="Y5" s="93"/>
      <c r="Z5" s="88"/>
      <c r="AA5" s="89"/>
      <c r="AB5" s="90"/>
      <c r="AC5" s="88"/>
      <c r="AD5" s="91"/>
      <c r="AE5" s="93"/>
      <c r="AF5" s="88"/>
      <c r="AG5" s="89"/>
      <c r="AH5" s="90"/>
      <c r="AI5" s="88"/>
      <c r="AJ5" s="89"/>
      <c r="AK5" s="90"/>
      <c r="AL5" s="88"/>
      <c r="AM5" s="89"/>
      <c r="AN5" s="94"/>
      <c r="AO5" s="65">
        <f>ISO!B47</f>
        <v>75</v>
      </c>
      <c r="AP5" s="40">
        <f>ISO!B48</f>
        <v>20</v>
      </c>
      <c r="AQ5" s="187">
        <f>ISO!B49</f>
        <v>55</v>
      </c>
      <c r="AR5" s="91"/>
      <c r="AS5" s="89"/>
      <c r="AT5" s="94"/>
      <c r="AU5" s="188"/>
      <c r="AV5" s="94"/>
      <c r="AW5" s="90"/>
      <c r="AX5" s="88"/>
      <c r="AY5" s="89"/>
      <c r="AZ5" s="90"/>
      <c r="BA5" s="91"/>
      <c r="BB5" s="89"/>
      <c r="BC5" s="90"/>
      <c r="BD5" s="91"/>
      <c r="BE5" s="91"/>
      <c r="BF5" s="92"/>
      <c r="BG5" s="88"/>
      <c r="BH5" s="89"/>
      <c r="BI5" s="94"/>
      <c r="BJ5" s="88"/>
      <c r="BK5" s="89"/>
      <c r="BL5" s="90"/>
      <c r="BM5" s="91"/>
      <c r="BN5" s="89"/>
      <c r="BO5" s="90"/>
      <c r="BP5" s="89"/>
      <c r="BQ5" s="89"/>
      <c r="BR5" s="94"/>
      <c r="BS5" s="188"/>
      <c r="BT5" s="94"/>
      <c r="BU5" s="90"/>
      <c r="BV5" s="88"/>
      <c r="BW5" s="89"/>
      <c r="BX5" s="90"/>
      <c r="BY5" s="95"/>
      <c r="BZ5" s="96"/>
      <c r="CA5" s="99"/>
      <c r="CB5" s="95"/>
      <c r="CC5" s="96"/>
      <c r="CD5" s="99"/>
      <c r="CE5" s="95"/>
      <c r="CF5" s="96"/>
      <c r="CG5" s="99"/>
      <c r="CH5" s="95"/>
      <c r="CI5" s="96"/>
      <c r="CJ5" s="97"/>
      <c r="CK5" s="164"/>
      <c r="CL5" s="164"/>
      <c r="CM5" s="164"/>
      <c r="CN5" s="100">
        <f>OMG!B5</f>
        <v>75</v>
      </c>
      <c r="CO5" s="101">
        <f>OMG!B6</f>
        <v>20</v>
      </c>
      <c r="CP5" s="102">
        <f>OMG!B7</f>
        <v>55</v>
      </c>
      <c r="CQ5" s="95"/>
      <c r="CR5" s="96"/>
      <c r="CS5" s="99"/>
      <c r="CT5" s="95"/>
      <c r="CU5" s="96"/>
      <c r="CV5" s="99"/>
      <c r="CW5" s="95"/>
      <c r="CX5" s="96"/>
      <c r="CY5" s="97"/>
      <c r="CZ5" s="98"/>
      <c r="DA5" s="96"/>
      <c r="DB5" s="97"/>
      <c r="DC5" s="220"/>
      <c r="DD5" s="95"/>
      <c r="DE5" s="96"/>
      <c r="DF5" s="97"/>
      <c r="DG5" s="95"/>
      <c r="DH5" s="96"/>
      <c r="DI5" s="96"/>
      <c r="DJ5" s="96"/>
      <c r="DK5" s="96"/>
      <c r="DL5" s="96"/>
      <c r="DM5" s="96"/>
      <c r="DN5" s="96"/>
      <c r="DO5" s="97"/>
    </row>
    <row r="6" spans="1:120" ht="16.5" outlineLevel="1" thickBot="1" x14ac:dyDescent="0.3">
      <c r="A6" s="103" t="s">
        <v>124</v>
      </c>
      <c r="B6" s="104">
        <v>0</v>
      </c>
      <c r="C6" s="105">
        <v>0</v>
      </c>
      <c r="D6" s="106">
        <v>0</v>
      </c>
      <c r="E6" s="107"/>
      <c r="F6" s="105"/>
      <c r="G6" s="106"/>
      <c r="H6" s="107"/>
      <c r="I6" s="105"/>
      <c r="J6" s="118"/>
      <c r="K6" s="104"/>
      <c r="L6" s="105"/>
      <c r="M6" s="106"/>
      <c r="N6" s="107"/>
      <c r="O6" s="105"/>
      <c r="P6" s="106"/>
      <c r="Q6" s="107"/>
      <c r="R6" s="107"/>
      <c r="S6" s="108"/>
      <c r="T6" s="104"/>
      <c r="U6" s="105"/>
      <c r="V6" s="106"/>
      <c r="W6" s="104"/>
      <c r="X6" s="107"/>
      <c r="Y6" s="109"/>
      <c r="Z6" s="104"/>
      <c r="AA6" s="105"/>
      <c r="AB6" s="106"/>
      <c r="AC6" s="104"/>
      <c r="AD6" s="107"/>
      <c r="AE6" s="109"/>
      <c r="AF6" s="104"/>
      <c r="AG6" s="105"/>
      <c r="AH6" s="106"/>
      <c r="AI6" s="104"/>
      <c r="AJ6" s="105"/>
      <c r="AK6" s="106"/>
      <c r="AL6" s="104"/>
      <c r="AM6" s="105"/>
      <c r="AN6" s="118"/>
      <c r="AO6" s="110"/>
      <c r="AP6" s="111"/>
      <c r="AQ6" s="112"/>
      <c r="AR6" s="107"/>
      <c r="AS6" s="105"/>
      <c r="AT6" s="118"/>
      <c r="AU6" s="189"/>
      <c r="AV6" s="114"/>
      <c r="AW6" s="117"/>
      <c r="AX6" s="115"/>
      <c r="AY6" s="116"/>
      <c r="AZ6" s="117"/>
      <c r="BA6" s="107"/>
      <c r="BB6" s="105"/>
      <c r="BC6" s="106"/>
      <c r="BD6" s="107"/>
      <c r="BE6" s="107"/>
      <c r="BF6" s="108"/>
      <c r="BG6" s="104"/>
      <c r="BH6" s="105"/>
      <c r="BI6" s="118"/>
      <c r="BJ6" s="104"/>
      <c r="BK6" s="105"/>
      <c r="BL6" s="106"/>
      <c r="BM6" s="107"/>
      <c r="BN6" s="105"/>
      <c r="BO6" s="106"/>
      <c r="BP6" s="105"/>
      <c r="BQ6" s="105"/>
      <c r="BR6" s="118"/>
      <c r="BS6" s="192"/>
      <c r="BT6" s="118"/>
      <c r="BU6" s="106"/>
      <c r="BV6" s="104"/>
      <c r="BW6" s="105"/>
      <c r="BX6" s="106"/>
      <c r="BY6" s="119"/>
      <c r="BZ6" s="120"/>
      <c r="CA6" s="123"/>
      <c r="CB6" s="119"/>
      <c r="CC6" s="120"/>
      <c r="CD6" s="123"/>
      <c r="CE6" s="119"/>
      <c r="CF6" s="120"/>
      <c r="CG6" s="123"/>
      <c r="CH6" s="119"/>
      <c r="CI6" s="120"/>
      <c r="CJ6" s="121"/>
      <c r="CK6" s="165"/>
      <c r="CL6" s="165"/>
      <c r="CM6" s="165"/>
      <c r="CN6" s="124"/>
      <c r="CO6" s="125"/>
      <c r="CP6" s="126"/>
      <c r="CQ6" s="119"/>
      <c r="CR6" s="120"/>
      <c r="CS6" s="123"/>
      <c r="CT6" s="119"/>
      <c r="CU6" s="120"/>
      <c r="CV6" s="123"/>
      <c r="CW6" s="119"/>
      <c r="CX6" s="120"/>
      <c r="CY6" s="121"/>
      <c r="CZ6" s="122"/>
      <c r="DA6" s="120"/>
      <c r="DB6" s="121"/>
      <c r="DC6" s="221"/>
      <c r="DD6" s="119"/>
      <c r="DE6" s="120"/>
      <c r="DF6" s="121"/>
      <c r="DG6" s="119" t="s">
        <v>56</v>
      </c>
      <c r="DH6" s="120" t="s">
        <v>56</v>
      </c>
      <c r="DI6" s="120" t="s">
        <v>56</v>
      </c>
      <c r="DJ6" s="120" t="s">
        <v>56</v>
      </c>
      <c r="DK6" s="120" t="s">
        <v>56</v>
      </c>
      <c r="DL6" s="120"/>
      <c r="DM6" s="120"/>
      <c r="DN6" s="120"/>
      <c r="DO6" s="121"/>
    </row>
    <row r="7" spans="1:120" ht="16.5" outlineLevel="1" thickBot="1" x14ac:dyDescent="0.3">
      <c r="A7" s="103" t="s">
        <v>3</v>
      </c>
      <c r="B7" s="104">
        <f>AVERAGE(AU7,AX7)</f>
        <v>83.5</v>
      </c>
      <c r="C7" s="105">
        <f t="shared" ref="C7:D7" si="25">AVERAGE(AV7,AY7)</f>
        <v>35</v>
      </c>
      <c r="D7" s="106">
        <f t="shared" si="25"/>
        <v>40</v>
      </c>
      <c r="E7" s="107"/>
      <c r="F7" s="105"/>
      <c r="G7" s="106"/>
      <c r="H7" s="107"/>
      <c r="I7" s="105"/>
      <c r="J7" s="118"/>
      <c r="K7" s="104"/>
      <c r="L7" s="105"/>
      <c r="M7" s="106"/>
      <c r="N7" s="107"/>
      <c r="O7" s="105"/>
      <c r="P7" s="106"/>
      <c r="Q7" s="107"/>
      <c r="R7" s="107"/>
      <c r="S7" s="108"/>
      <c r="T7" s="104"/>
      <c r="U7" s="105"/>
      <c r="V7" s="106"/>
      <c r="W7" s="104"/>
      <c r="X7" s="107"/>
      <c r="Y7" s="109"/>
      <c r="Z7" s="104"/>
      <c r="AA7" s="105"/>
      <c r="AB7" s="106"/>
      <c r="AC7" s="104"/>
      <c r="AD7" s="107"/>
      <c r="AE7" s="109"/>
      <c r="AF7" s="104"/>
      <c r="AG7" s="105"/>
      <c r="AH7" s="106"/>
      <c r="AI7" s="104"/>
      <c r="AJ7" s="105"/>
      <c r="AK7" s="106"/>
      <c r="AL7" s="104"/>
      <c r="AM7" s="105"/>
      <c r="AN7" s="118"/>
      <c r="AO7" s="104"/>
      <c r="AP7" s="107"/>
      <c r="AQ7" s="109"/>
      <c r="AR7" s="107"/>
      <c r="AS7" s="105"/>
      <c r="AT7" s="118"/>
      <c r="AU7" s="183">
        <f>ISO!B77</f>
        <v>75</v>
      </c>
      <c r="AV7" s="39">
        <f>ISO!B78</f>
        <v>20</v>
      </c>
      <c r="AW7" s="67">
        <f>ISO!B79</f>
        <v>55</v>
      </c>
      <c r="AX7" s="65">
        <f>ISO!B131</f>
        <v>92</v>
      </c>
      <c r="AY7" s="22">
        <f>ISO!B132</f>
        <v>50</v>
      </c>
      <c r="AZ7" s="67">
        <f>ISO!B133</f>
        <v>25</v>
      </c>
      <c r="BA7" s="107"/>
      <c r="BB7" s="105"/>
      <c r="BC7" s="106"/>
      <c r="BD7" s="107"/>
      <c r="BE7" s="107"/>
      <c r="BF7" s="108"/>
      <c r="BG7" s="104"/>
      <c r="BH7" s="105"/>
      <c r="BI7" s="118"/>
      <c r="BJ7" s="104"/>
      <c r="BK7" s="105"/>
      <c r="BL7" s="106"/>
      <c r="BM7" s="107"/>
      <c r="BN7" s="105"/>
      <c r="BO7" s="106"/>
      <c r="BP7" s="105"/>
      <c r="BQ7" s="105"/>
      <c r="BR7" s="118"/>
      <c r="BS7" s="192"/>
      <c r="BT7" s="118"/>
      <c r="BU7" s="106"/>
      <c r="BV7" s="104"/>
      <c r="BW7" s="105"/>
      <c r="BX7" s="106"/>
      <c r="BY7" s="119"/>
      <c r="BZ7" s="120"/>
      <c r="CA7" s="123"/>
      <c r="CB7" s="119"/>
      <c r="CC7" s="120"/>
      <c r="CD7" s="123"/>
      <c r="CE7" s="119"/>
      <c r="CF7" s="120"/>
      <c r="CG7" s="123"/>
      <c r="CH7" s="119"/>
      <c r="CI7" s="120"/>
      <c r="CJ7" s="121"/>
      <c r="CK7" s="165"/>
      <c r="CL7" s="165"/>
      <c r="CM7" s="165"/>
      <c r="CN7" s="119"/>
      <c r="CO7" s="120"/>
      <c r="CP7" s="121"/>
      <c r="CQ7" s="119"/>
      <c r="CR7" s="120"/>
      <c r="CS7" s="123"/>
      <c r="CT7" s="119"/>
      <c r="CU7" s="120"/>
      <c r="CV7" s="123"/>
      <c r="CW7" s="119"/>
      <c r="CX7" s="120"/>
      <c r="CY7" s="121"/>
      <c r="CZ7" s="122"/>
      <c r="DA7" s="120"/>
      <c r="DB7" s="121"/>
      <c r="DC7" s="221"/>
      <c r="DD7" s="119"/>
      <c r="DE7" s="120"/>
      <c r="DF7" s="121"/>
      <c r="DG7" s="119"/>
      <c r="DH7" s="120"/>
      <c r="DI7" s="120"/>
      <c r="DJ7" s="120"/>
      <c r="DK7" s="120"/>
      <c r="DL7" s="120"/>
      <c r="DM7" s="120"/>
      <c r="DN7" s="120"/>
      <c r="DO7" s="121"/>
    </row>
    <row r="8" spans="1:120" ht="16.5" outlineLevel="1" thickBot="1" x14ac:dyDescent="0.3">
      <c r="A8" s="103" t="s">
        <v>4</v>
      </c>
      <c r="B8" s="104">
        <f t="shared" ref="B8:B9" si="26">AVERAGE(AU8,AX8)</f>
        <v>87.5</v>
      </c>
      <c r="C8" s="105">
        <f t="shared" ref="C8:C9" si="27">AVERAGE(AV8,AY8)</f>
        <v>60</v>
      </c>
      <c r="D8" s="106">
        <f t="shared" ref="D8:D9" si="28">AVERAGE(AW8,AZ8)</f>
        <v>27.5</v>
      </c>
      <c r="E8" s="107"/>
      <c r="F8" s="105"/>
      <c r="G8" s="106"/>
      <c r="H8" s="107"/>
      <c r="I8" s="105"/>
      <c r="J8" s="118"/>
      <c r="K8" s="104"/>
      <c r="L8" s="105"/>
      <c r="M8" s="106"/>
      <c r="N8" s="107"/>
      <c r="O8" s="105"/>
      <c r="P8" s="106"/>
      <c r="Q8" s="107"/>
      <c r="R8" s="107"/>
      <c r="S8" s="108"/>
      <c r="T8" s="104"/>
      <c r="U8" s="105"/>
      <c r="V8" s="106"/>
      <c r="W8" s="104"/>
      <c r="X8" s="107"/>
      <c r="Y8" s="109"/>
      <c r="Z8" s="104"/>
      <c r="AA8" s="105"/>
      <c r="AB8" s="106"/>
      <c r="AC8" s="104"/>
      <c r="AD8" s="107"/>
      <c r="AE8" s="109"/>
      <c r="AF8" s="104"/>
      <c r="AG8" s="105"/>
      <c r="AH8" s="106"/>
      <c r="AI8" s="104"/>
      <c r="AJ8" s="105"/>
      <c r="AK8" s="106"/>
      <c r="AL8" s="104"/>
      <c r="AM8" s="105"/>
      <c r="AN8" s="118"/>
      <c r="AO8" s="104"/>
      <c r="AP8" s="107"/>
      <c r="AQ8" s="109"/>
      <c r="AR8" s="107"/>
      <c r="AS8" s="105"/>
      <c r="AT8" s="118"/>
      <c r="AU8" s="190">
        <f>ISO!B83</f>
        <v>75</v>
      </c>
      <c r="AV8" s="128">
        <f>ISO!B84</f>
        <v>20</v>
      </c>
      <c r="AW8" s="148">
        <f>ISO!B85</f>
        <v>55</v>
      </c>
      <c r="AX8" s="65">
        <f>ISO!B137</f>
        <v>100</v>
      </c>
      <c r="AY8" s="22">
        <f>ISO!B138</f>
        <v>100</v>
      </c>
      <c r="AZ8" s="67">
        <f>ISO!B139</f>
        <v>0</v>
      </c>
      <c r="BA8" s="107"/>
      <c r="BB8" s="105"/>
      <c r="BC8" s="106"/>
      <c r="BD8" s="107"/>
      <c r="BE8" s="107"/>
      <c r="BF8" s="108"/>
      <c r="BG8" s="104"/>
      <c r="BH8" s="105"/>
      <c r="BI8" s="118"/>
      <c r="BJ8" s="104"/>
      <c r="BK8" s="105"/>
      <c r="BL8" s="106"/>
      <c r="BM8" s="107"/>
      <c r="BN8" s="105"/>
      <c r="BO8" s="106"/>
      <c r="BP8" s="105"/>
      <c r="BQ8" s="105"/>
      <c r="BR8" s="118"/>
      <c r="BS8" s="192"/>
      <c r="BT8" s="118"/>
      <c r="BU8" s="106"/>
      <c r="BV8" s="104"/>
      <c r="BW8" s="105"/>
      <c r="BX8" s="106"/>
      <c r="BY8" s="119"/>
      <c r="BZ8" s="120"/>
      <c r="CA8" s="123"/>
      <c r="CB8" s="119"/>
      <c r="CC8" s="120"/>
      <c r="CD8" s="123"/>
      <c r="CE8" s="119"/>
      <c r="CF8" s="120"/>
      <c r="CG8" s="123"/>
      <c r="CH8" s="119"/>
      <c r="CI8" s="120"/>
      <c r="CJ8" s="121"/>
      <c r="CK8" s="165"/>
      <c r="CL8" s="165"/>
      <c r="CM8" s="165"/>
      <c r="CN8" s="119"/>
      <c r="CO8" s="120"/>
      <c r="CP8" s="121"/>
      <c r="CQ8" s="119"/>
      <c r="CR8" s="120"/>
      <c r="CS8" s="123"/>
      <c r="CT8" s="119"/>
      <c r="CU8" s="120"/>
      <c r="CV8" s="123"/>
      <c r="CW8" s="119"/>
      <c r="CX8" s="120"/>
      <c r="CY8" s="121"/>
      <c r="CZ8" s="122"/>
      <c r="DA8" s="120"/>
      <c r="DB8" s="121"/>
      <c r="DC8" s="221"/>
      <c r="DD8" s="119"/>
      <c r="DE8" s="120"/>
      <c r="DF8" s="121"/>
      <c r="DG8" s="119"/>
      <c r="DH8" s="120"/>
      <c r="DI8" s="120"/>
      <c r="DJ8" s="120"/>
      <c r="DK8" s="120"/>
      <c r="DL8" s="120"/>
      <c r="DM8" s="120"/>
      <c r="DN8" s="120"/>
      <c r="DO8" s="121"/>
    </row>
    <row r="9" spans="1:120" ht="16.5" outlineLevel="1" thickBot="1" x14ac:dyDescent="0.3">
      <c r="A9" s="103" t="s">
        <v>5</v>
      </c>
      <c r="B9" s="104">
        <f t="shared" si="26"/>
        <v>75</v>
      </c>
      <c r="C9" s="105">
        <f t="shared" si="27"/>
        <v>20</v>
      </c>
      <c r="D9" s="106">
        <f t="shared" si="28"/>
        <v>55</v>
      </c>
      <c r="E9" s="107"/>
      <c r="F9" s="105"/>
      <c r="G9" s="106"/>
      <c r="H9" s="107"/>
      <c r="I9" s="105"/>
      <c r="J9" s="118"/>
      <c r="K9" s="104"/>
      <c r="L9" s="105"/>
      <c r="M9" s="106"/>
      <c r="N9" s="107"/>
      <c r="O9" s="105"/>
      <c r="P9" s="106"/>
      <c r="Q9" s="107"/>
      <c r="R9" s="107"/>
      <c r="S9" s="108"/>
      <c r="T9" s="104"/>
      <c r="U9" s="105"/>
      <c r="V9" s="106"/>
      <c r="W9" s="104"/>
      <c r="X9" s="107"/>
      <c r="Y9" s="109"/>
      <c r="Z9" s="104"/>
      <c r="AA9" s="105"/>
      <c r="AB9" s="106"/>
      <c r="AC9" s="104"/>
      <c r="AD9" s="107"/>
      <c r="AE9" s="109"/>
      <c r="AF9" s="104"/>
      <c r="AG9" s="105"/>
      <c r="AH9" s="106"/>
      <c r="AI9" s="104"/>
      <c r="AJ9" s="105"/>
      <c r="AK9" s="106"/>
      <c r="AL9" s="104"/>
      <c r="AM9" s="105"/>
      <c r="AN9" s="118"/>
      <c r="AO9" s="115"/>
      <c r="AP9" s="129"/>
      <c r="AQ9" s="130"/>
      <c r="AR9" s="107"/>
      <c r="AS9" s="105"/>
      <c r="AT9" s="118"/>
      <c r="AU9" s="183">
        <f>ISO!B89</f>
        <v>75</v>
      </c>
      <c r="AV9" s="39">
        <f>ISO!B90</f>
        <v>20</v>
      </c>
      <c r="AW9" s="67">
        <f>ISO!B91</f>
        <v>55</v>
      </c>
      <c r="AX9" s="65">
        <f>ISO!B143</f>
        <v>75</v>
      </c>
      <c r="AY9" s="22">
        <f>ISO!B144</f>
        <v>20</v>
      </c>
      <c r="AZ9" s="67">
        <f>ISO!B145</f>
        <v>55</v>
      </c>
      <c r="BA9" s="107"/>
      <c r="BB9" s="105"/>
      <c r="BC9" s="106"/>
      <c r="BD9" s="107"/>
      <c r="BE9" s="107"/>
      <c r="BF9" s="108"/>
      <c r="BG9" s="104"/>
      <c r="BH9" s="105"/>
      <c r="BI9" s="118"/>
      <c r="BJ9" s="104"/>
      <c r="BK9" s="105"/>
      <c r="BL9" s="106"/>
      <c r="BM9" s="107"/>
      <c r="BN9" s="105"/>
      <c r="BO9" s="106"/>
      <c r="BP9" s="105"/>
      <c r="BQ9" s="105"/>
      <c r="BR9" s="118"/>
      <c r="BS9" s="192"/>
      <c r="BT9" s="118"/>
      <c r="BU9" s="106"/>
      <c r="BV9" s="104"/>
      <c r="BW9" s="105"/>
      <c r="BX9" s="106"/>
      <c r="BY9" s="131"/>
      <c r="BZ9" s="132"/>
      <c r="CA9" s="168"/>
      <c r="CB9" s="131"/>
      <c r="CC9" s="132"/>
      <c r="CD9" s="168"/>
      <c r="CE9" s="119"/>
      <c r="CF9" s="120"/>
      <c r="CG9" s="123"/>
      <c r="CH9" s="131"/>
      <c r="CI9" s="132"/>
      <c r="CJ9" s="133"/>
      <c r="CK9" s="165"/>
      <c r="CL9" s="165"/>
      <c r="CM9" s="165"/>
      <c r="CN9" s="119"/>
      <c r="CO9" s="120"/>
      <c r="CP9" s="121"/>
      <c r="CQ9" s="131"/>
      <c r="CR9" s="132"/>
      <c r="CS9" s="168"/>
      <c r="CT9" s="131"/>
      <c r="CU9" s="132"/>
      <c r="CV9" s="168"/>
      <c r="CW9" s="131"/>
      <c r="CX9" s="132"/>
      <c r="CY9" s="133"/>
      <c r="CZ9" s="223"/>
      <c r="DA9" s="132"/>
      <c r="DB9" s="133"/>
      <c r="DC9" s="221"/>
      <c r="DD9" s="119"/>
      <c r="DE9" s="120"/>
      <c r="DF9" s="121"/>
      <c r="DG9" s="119"/>
      <c r="DH9" s="120"/>
      <c r="DI9" s="120"/>
      <c r="DJ9" s="120"/>
      <c r="DK9" s="120"/>
      <c r="DL9" s="120"/>
      <c r="DM9" s="120"/>
      <c r="DN9" s="120"/>
      <c r="DO9" s="121"/>
    </row>
    <row r="10" spans="1:120" ht="16.5" outlineLevel="1" thickBot="1" x14ac:dyDescent="0.3">
      <c r="A10" s="103" t="s">
        <v>6</v>
      </c>
      <c r="B10" s="104">
        <f>AVERAGE(AO10,AU10)</f>
        <v>75</v>
      </c>
      <c r="C10" s="105">
        <f t="shared" ref="C10:D10" si="29">AVERAGE(AP10,AV10)</f>
        <v>20</v>
      </c>
      <c r="D10" s="106">
        <f t="shared" si="29"/>
        <v>55</v>
      </c>
      <c r="E10" s="107"/>
      <c r="F10" s="105"/>
      <c r="G10" s="106"/>
      <c r="H10" s="107"/>
      <c r="I10" s="105"/>
      <c r="J10" s="118"/>
      <c r="K10" s="104"/>
      <c r="L10" s="105"/>
      <c r="M10" s="106"/>
      <c r="N10" s="107"/>
      <c r="O10" s="105"/>
      <c r="P10" s="106"/>
      <c r="Q10" s="107"/>
      <c r="R10" s="107"/>
      <c r="S10" s="108"/>
      <c r="T10" s="104"/>
      <c r="U10" s="105"/>
      <c r="V10" s="106"/>
      <c r="W10" s="104"/>
      <c r="X10" s="107"/>
      <c r="Y10" s="109"/>
      <c r="Z10" s="104"/>
      <c r="AA10" s="105"/>
      <c r="AB10" s="106"/>
      <c r="AC10" s="104"/>
      <c r="AD10" s="107"/>
      <c r="AE10" s="109"/>
      <c r="AF10" s="104"/>
      <c r="AG10" s="105"/>
      <c r="AH10" s="106"/>
      <c r="AI10" s="104"/>
      <c r="AJ10" s="105"/>
      <c r="AK10" s="106"/>
      <c r="AL10" s="104"/>
      <c r="AM10" s="105"/>
      <c r="AN10" s="118"/>
      <c r="AO10" s="65">
        <f>ISO!B53</f>
        <v>75</v>
      </c>
      <c r="AP10" s="40">
        <f>ISO!B54</f>
        <v>20</v>
      </c>
      <c r="AQ10" s="187">
        <f>ISO!B55</f>
        <v>55</v>
      </c>
      <c r="AR10" s="107"/>
      <c r="AS10" s="105"/>
      <c r="AT10" s="118"/>
      <c r="AU10" s="183">
        <f>ISO!B95</f>
        <v>75</v>
      </c>
      <c r="AV10" s="39">
        <f>ISO!B96</f>
        <v>20</v>
      </c>
      <c r="AW10" s="67">
        <f>ISO!B97</f>
        <v>55</v>
      </c>
      <c r="AX10" s="110"/>
      <c r="AY10" s="134"/>
      <c r="AZ10" s="135"/>
      <c r="BA10" s="107"/>
      <c r="BB10" s="105"/>
      <c r="BC10" s="106"/>
      <c r="BD10" s="107"/>
      <c r="BE10" s="107"/>
      <c r="BF10" s="108"/>
      <c r="BG10" s="104"/>
      <c r="BH10" s="105"/>
      <c r="BI10" s="118"/>
      <c r="BJ10" s="104"/>
      <c r="BK10" s="105"/>
      <c r="BL10" s="106"/>
      <c r="BM10" s="107"/>
      <c r="BN10" s="105"/>
      <c r="BO10" s="106"/>
      <c r="BP10" s="105"/>
      <c r="BQ10" s="105"/>
      <c r="BR10" s="118"/>
      <c r="BS10" s="192"/>
      <c r="BT10" s="118"/>
      <c r="BU10" s="106"/>
      <c r="BV10" s="104"/>
      <c r="BW10" s="105"/>
      <c r="BX10" s="106"/>
      <c r="BY10" s="100">
        <f>Modelica!B5</f>
        <v>75</v>
      </c>
      <c r="BZ10" s="101">
        <f>Modelica!B6</f>
        <v>20</v>
      </c>
      <c r="CA10" s="169">
        <f>Modelica!B7</f>
        <v>55</v>
      </c>
      <c r="CB10" s="100">
        <f>Modelica!B29</f>
        <v>75</v>
      </c>
      <c r="CC10" s="101">
        <f>Modelica!B30</f>
        <v>20</v>
      </c>
      <c r="CD10" s="169">
        <f>Modelica!B31</f>
        <v>55</v>
      </c>
      <c r="CE10" s="119"/>
      <c r="CF10" s="120"/>
      <c r="CG10" s="123"/>
      <c r="CH10" s="100">
        <f>OAGi!B11</f>
        <v>75</v>
      </c>
      <c r="CI10" s="101">
        <f>OAGi!B12</f>
        <v>20</v>
      </c>
      <c r="CJ10" s="102">
        <f>OAGi!B13</f>
        <v>55</v>
      </c>
      <c r="CK10" s="165"/>
      <c r="CL10" s="165"/>
      <c r="CM10" s="165"/>
      <c r="CN10" s="119"/>
      <c r="CO10" s="120"/>
      <c r="CP10" s="121"/>
      <c r="CQ10" s="100">
        <f>OMG!B11</f>
        <v>75</v>
      </c>
      <c r="CR10" s="101">
        <f>OMG!B12</f>
        <v>20</v>
      </c>
      <c r="CS10" s="169">
        <f>OMG!B13</f>
        <v>55</v>
      </c>
      <c r="CT10" s="100" t="s">
        <v>56</v>
      </c>
      <c r="CU10" s="101" t="s">
        <v>56</v>
      </c>
      <c r="CV10" s="169" t="s">
        <v>56</v>
      </c>
      <c r="CW10" s="100" t="s">
        <v>56</v>
      </c>
      <c r="CX10" s="101" t="s">
        <v>56</v>
      </c>
      <c r="CY10" s="102" t="s">
        <v>56</v>
      </c>
      <c r="CZ10" s="225" t="s">
        <v>56</v>
      </c>
      <c r="DA10" s="101" t="s">
        <v>56</v>
      </c>
      <c r="DB10" s="102" t="s">
        <v>56</v>
      </c>
      <c r="DC10" s="221"/>
      <c r="DD10" s="119" t="s">
        <v>56</v>
      </c>
      <c r="DE10" s="120"/>
      <c r="DF10" s="121"/>
      <c r="DG10" s="119"/>
      <c r="DH10" s="120"/>
      <c r="DI10" s="120"/>
      <c r="DJ10" s="120"/>
      <c r="DK10" s="120"/>
      <c r="DL10" s="120"/>
      <c r="DM10" s="120"/>
      <c r="DN10" s="120"/>
      <c r="DO10" s="121"/>
    </row>
    <row r="11" spans="1:120" ht="16.5" outlineLevel="1" thickBot="1" x14ac:dyDescent="0.3">
      <c r="A11" s="103" t="s">
        <v>7</v>
      </c>
      <c r="B11" s="104">
        <f>AVERAGE(AO11)</f>
        <v>75</v>
      </c>
      <c r="C11" s="105">
        <f t="shared" ref="C11:D11" si="30">AVERAGE(AP11)</f>
        <v>20</v>
      </c>
      <c r="D11" s="106">
        <f t="shared" si="30"/>
        <v>55</v>
      </c>
      <c r="E11" s="107"/>
      <c r="F11" s="105"/>
      <c r="G11" s="106"/>
      <c r="H11" s="107"/>
      <c r="I11" s="105"/>
      <c r="J11" s="118"/>
      <c r="K11" s="104"/>
      <c r="L11" s="105"/>
      <c r="M11" s="106"/>
      <c r="N11" s="107"/>
      <c r="O11" s="105"/>
      <c r="P11" s="106"/>
      <c r="Q11" s="107"/>
      <c r="R11" s="107"/>
      <c r="S11" s="108"/>
      <c r="T11" s="104"/>
      <c r="U11" s="105"/>
      <c r="V11" s="106"/>
      <c r="W11" s="104"/>
      <c r="X11" s="107"/>
      <c r="Y11" s="109"/>
      <c r="Z11" s="104"/>
      <c r="AA11" s="105"/>
      <c r="AB11" s="106"/>
      <c r="AC11" s="104"/>
      <c r="AD11" s="107"/>
      <c r="AE11" s="109"/>
      <c r="AF11" s="104"/>
      <c r="AG11" s="105"/>
      <c r="AH11" s="106"/>
      <c r="AI11" s="104"/>
      <c r="AJ11" s="105"/>
      <c r="AK11" s="106"/>
      <c r="AL11" s="104"/>
      <c r="AM11" s="105"/>
      <c r="AN11" s="118"/>
      <c r="AO11" s="65">
        <f>ISO!B59</f>
        <v>75</v>
      </c>
      <c r="AP11" s="40">
        <f>ISO!B60</f>
        <v>20</v>
      </c>
      <c r="AQ11" s="187">
        <f>ISO!B61</f>
        <v>55</v>
      </c>
      <c r="AR11" s="107"/>
      <c r="AS11" s="105"/>
      <c r="AT11" s="118"/>
      <c r="AU11" s="191"/>
      <c r="AV11" s="137"/>
      <c r="AW11" s="135"/>
      <c r="AX11" s="104"/>
      <c r="AY11" s="105"/>
      <c r="AZ11" s="106"/>
      <c r="BA11" s="107"/>
      <c r="BB11" s="105"/>
      <c r="BC11" s="106"/>
      <c r="BD11" s="107"/>
      <c r="BE11" s="107"/>
      <c r="BF11" s="108"/>
      <c r="BG11" s="104"/>
      <c r="BH11" s="105"/>
      <c r="BI11" s="118"/>
      <c r="BJ11" s="104"/>
      <c r="BK11" s="105"/>
      <c r="BL11" s="106"/>
      <c r="BM11" s="107"/>
      <c r="BN11" s="105"/>
      <c r="BO11" s="106"/>
      <c r="BP11" s="105"/>
      <c r="BQ11" s="105"/>
      <c r="BR11" s="118"/>
      <c r="BS11" s="192"/>
      <c r="BT11" s="118"/>
      <c r="BU11" s="106"/>
      <c r="BV11" s="104"/>
      <c r="BW11" s="105"/>
      <c r="BX11" s="106"/>
      <c r="BY11" s="100">
        <f>Modelica!B11</f>
        <v>75</v>
      </c>
      <c r="BZ11" s="101">
        <f>Modelica!B12</f>
        <v>20</v>
      </c>
      <c r="CA11" s="169">
        <f>Modelica!B13</f>
        <v>55</v>
      </c>
      <c r="CB11" s="100">
        <f>Modelica!B35</f>
        <v>75</v>
      </c>
      <c r="CC11" s="101">
        <f>Modelica!B36</f>
        <v>20</v>
      </c>
      <c r="CD11" s="169">
        <f>Modelica!B37</f>
        <v>55</v>
      </c>
      <c r="CE11" s="119"/>
      <c r="CF11" s="120"/>
      <c r="CG11" s="123"/>
      <c r="CH11" s="100">
        <f>OAGi!B17</f>
        <v>75</v>
      </c>
      <c r="CI11" s="101">
        <f>OAGi!B18</f>
        <v>20</v>
      </c>
      <c r="CJ11" s="102">
        <f>OAGi!B19</f>
        <v>55</v>
      </c>
      <c r="CK11" s="165"/>
      <c r="CL11" s="165"/>
      <c r="CM11" s="165"/>
      <c r="CN11" s="119"/>
      <c r="CO11" s="120"/>
      <c r="CP11" s="121"/>
      <c r="CQ11" s="100">
        <f>OMG!B17</f>
        <v>75</v>
      </c>
      <c r="CR11" s="101">
        <f>OMG!B18</f>
        <v>20</v>
      </c>
      <c r="CS11" s="169">
        <f>OMG!B19</f>
        <v>55</v>
      </c>
      <c r="CT11" s="100" t="s">
        <v>56</v>
      </c>
      <c r="CU11" s="101" t="s">
        <v>56</v>
      </c>
      <c r="CV11" s="169" t="s">
        <v>56</v>
      </c>
      <c r="CW11" s="100" t="s">
        <v>56</v>
      </c>
      <c r="CX11" s="101" t="s">
        <v>56</v>
      </c>
      <c r="CY11" s="102" t="s">
        <v>56</v>
      </c>
      <c r="CZ11" s="225" t="s">
        <v>56</v>
      </c>
      <c r="DA11" s="101" t="s">
        <v>56</v>
      </c>
      <c r="DB11" s="102" t="s">
        <v>56</v>
      </c>
      <c r="DC11" s="221"/>
      <c r="DD11" s="119" t="s">
        <v>56</v>
      </c>
      <c r="DE11" s="120"/>
      <c r="DF11" s="121"/>
      <c r="DG11" s="119"/>
      <c r="DH11" s="120"/>
      <c r="DI11" s="120"/>
      <c r="DJ11" s="120"/>
      <c r="DK11" s="120"/>
      <c r="DL11" s="120"/>
      <c r="DM11" s="120"/>
      <c r="DN11" s="120"/>
      <c r="DO11" s="121"/>
    </row>
    <row r="12" spans="1:120" ht="16.5" outlineLevel="1" thickBot="1" x14ac:dyDescent="0.3">
      <c r="A12" s="103" t="s">
        <v>8</v>
      </c>
      <c r="B12" s="104">
        <f>AVERAGE(AO12)</f>
        <v>75</v>
      </c>
      <c r="C12" s="105">
        <f t="shared" ref="C12" si="31">AVERAGE(AP12)</f>
        <v>20</v>
      </c>
      <c r="D12" s="106">
        <f t="shared" ref="D12" si="32">AVERAGE(AQ12)</f>
        <v>55</v>
      </c>
      <c r="E12" s="107"/>
      <c r="F12" s="105"/>
      <c r="G12" s="106"/>
      <c r="H12" s="107"/>
      <c r="I12" s="105"/>
      <c r="J12" s="118"/>
      <c r="K12" s="104"/>
      <c r="L12" s="105"/>
      <c r="M12" s="106"/>
      <c r="N12" s="107"/>
      <c r="O12" s="105"/>
      <c r="P12" s="106"/>
      <c r="Q12" s="107"/>
      <c r="R12" s="107"/>
      <c r="S12" s="108"/>
      <c r="T12" s="104"/>
      <c r="U12" s="105"/>
      <c r="V12" s="106"/>
      <c r="W12" s="104"/>
      <c r="X12" s="107"/>
      <c r="Y12" s="109"/>
      <c r="Z12" s="115"/>
      <c r="AA12" s="116"/>
      <c r="AB12" s="117"/>
      <c r="AC12" s="104"/>
      <c r="AD12" s="107"/>
      <c r="AE12" s="109"/>
      <c r="AF12" s="104"/>
      <c r="AG12" s="105"/>
      <c r="AH12" s="106"/>
      <c r="AI12" s="115"/>
      <c r="AJ12" s="116"/>
      <c r="AK12" s="117"/>
      <c r="AL12" s="104"/>
      <c r="AM12" s="105"/>
      <c r="AN12" s="118"/>
      <c r="AO12" s="65">
        <f>ISO!B65</f>
        <v>75</v>
      </c>
      <c r="AP12" s="40">
        <f>ISO!B66</f>
        <v>20</v>
      </c>
      <c r="AQ12" s="187">
        <f>ISO!B67</f>
        <v>55</v>
      </c>
      <c r="AR12" s="107"/>
      <c r="AS12" s="105"/>
      <c r="AT12" s="118"/>
      <c r="AU12" s="192"/>
      <c r="AV12" s="118"/>
      <c r="AW12" s="106"/>
      <c r="AX12" s="104"/>
      <c r="AY12" s="105"/>
      <c r="AZ12" s="106"/>
      <c r="BA12" s="107"/>
      <c r="BB12" s="105"/>
      <c r="BC12" s="106"/>
      <c r="BD12" s="107"/>
      <c r="BE12" s="107"/>
      <c r="BF12" s="108"/>
      <c r="BG12" s="104"/>
      <c r="BH12" s="105"/>
      <c r="BI12" s="118"/>
      <c r="BJ12" s="104"/>
      <c r="BK12" s="105"/>
      <c r="BL12" s="106"/>
      <c r="BM12" s="107"/>
      <c r="BN12" s="105"/>
      <c r="BO12" s="106"/>
      <c r="BP12" s="105"/>
      <c r="BQ12" s="105"/>
      <c r="BR12" s="118"/>
      <c r="BS12" s="192"/>
      <c r="BT12" s="118"/>
      <c r="BU12" s="106"/>
      <c r="BV12" s="104"/>
      <c r="BW12" s="105"/>
      <c r="BX12" s="106"/>
      <c r="BY12" s="100">
        <f>Modelica!B17</f>
        <v>75</v>
      </c>
      <c r="BZ12" s="101">
        <f>Modelica!B18</f>
        <v>20</v>
      </c>
      <c r="CA12" s="169">
        <f>Modelica!B19</f>
        <v>55</v>
      </c>
      <c r="CB12" s="100">
        <f>Modelica!B41</f>
        <v>75</v>
      </c>
      <c r="CC12" s="101">
        <f>Modelica!B42</f>
        <v>20</v>
      </c>
      <c r="CD12" s="169">
        <f>Modelica!B43</f>
        <v>55</v>
      </c>
      <c r="CE12" s="119"/>
      <c r="CF12" s="120"/>
      <c r="CG12" s="123"/>
      <c r="CH12" s="100">
        <f>OAGi!B23</f>
        <v>75</v>
      </c>
      <c r="CI12" s="101">
        <f>OAGi!B24</f>
        <v>20</v>
      </c>
      <c r="CJ12" s="102">
        <f>OAGi!B25</f>
        <v>55</v>
      </c>
      <c r="CK12" s="165"/>
      <c r="CL12" s="165"/>
      <c r="CM12" s="165"/>
      <c r="CN12" s="119"/>
      <c r="CO12" s="120"/>
      <c r="CP12" s="121"/>
      <c r="CQ12" s="100">
        <f>OMG!B23</f>
        <v>75</v>
      </c>
      <c r="CR12" s="101">
        <f>OMG!B24</f>
        <v>20</v>
      </c>
      <c r="CS12" s="169">
        <f>OMG!B25</f>
        <v>55</v>
      </c>
      <c r="CT12" s="100" t="s">
        <v>56</v>
      </c>
      <c r="CU12" s="101" t="s">
        <v>56</v>
      </c>
      <c r="CV12" s="169" t="s">
        <v>56</v>
      </c>
      <c r="CW12" s="100" t="s">
        <v>56</v>
      </c>
      <c r="CX12" s="101" t="s">
        <v>56</v>
      </c>
      <c r="CY12" s="102" t="s">
        <v>56</v>
      </c>
      <c r="CZ12" s="225" t="s">
        <v>56</v>
      </c>
      <c r="DA12" s="101" t="s">
        <v>56</v>
      </c>
      <c r="DB12" s="102" t="s">
        <v>56</v>
      </c>
      <c r="DC12" s="221"/>
      <c r="DD12" s="119" t="s">
        <v>56</v>
      </c>
      <c r="DE12" s="120"/>
      <c r="DF12" s="121"/>
      <c r="DG12" s="119"/>
      <c r="DH12" s="120"/>
      <c r="DI12" s="120"/>
      <c r="DJ12" s="120"/>
      <c r="DK12" s="120"/>
      <c r="DL12" s="120"/>
      <c r="DM12" s="120"/>
      <c r="DN12" s="120"/>
      <c r="DO12" s="121"/>
    </row>
    <row r="13" spans="1:120" ht="16.5" outlineLevel="1" thickBot="1" x14ac:dyDescent="0.3">
      <c r="A13" s="103" t="s">
        <v>9</v>
      </c>
      <c r="B13" s="104">
        <f>AVERAGE(Q13,Z13,AI13)</f>
        <v>75</v>
      </c>
      <c r="C13" s="105">
        <f t="shared" ref="C13:D13" si="33">AVERAGE(R13,AA13,AJ13)</f>
        <v>30</v>
      </c>
      <c r="D13" s="106">
        <f t="shared" si="33"/>
        <v>45</v>
      </c>
      <c r="E13" s="107"/>
      <c r="F13" s="105"/>
      <c r="G13" s="106"/>
      <c r="H13" s="107"/>
      <c r="I13" s="105"/>
      <c r="J13" s="118"/>
      <c r="K13" s="104"/>
      <c r="L13" s="105"/>
      <c r="M13" s="106"/>
      <c r="N13" s="107"/>
      <c r="O13" s="105"/>
      <c r="P13" s="106"/>
      <c r="Q13" s="65">
        <f>AIA!B11</f>
        <v>75</v>
      </c>
      <c r="R13" s="22">
        <f>AIA!B12</f>
        <v>50</v>
      </c>
      <c r="S13" s="67">
        <f>AIA!B13</f>
        <v>25</v>
      </c>
      <c r="T13" s="104"/>
      <c r="U13" s="105"/>
      <c r="V13" s="106"/>
      <c r="W13" s="104"/>
      <c r="X13" s="107"/>
      <c r="Y13" s="109"/>
      <c r="Z13" s="65">
        <f>HDF!B5</f>
        <v>75</v>
      </c>
      <c r="AA13" s="22">
        <f>HDF!B6</f>
        <v>20</v>
      </c>
      <c r="AB13" s="67">
        <f>HDF!B7</f>
        <v>55</v>
      </c>
      <c r="AC13" s="104"/>
      <c r="AD13" s="107"/>
      <c r="AE13" s="109"/>
      <c r="AF13" s="104"/>
      <c r="AG13" s="105"/>
      <c r="AH13" s="106"/>
      <c r="AI13" s="65">
        <f>ISO!B23</f>
        <v>75</v>
      </c>
      <c r="AJ13" s="22">
        <f>ISO!B24</f>
        <v>20</v>
      </c>
      <c r="AK13" s="67">
        <f>ISO!B25</f>
        <v>55</v>
      </c>
      <c r="AL13" s="104"/>
      <c r="AM13" s="105"/>
      <c r="AN13" s="118"/>
      <c r="AO13" s="110"/>
      <c r="AP13" s="111"/>
      <c r="AQ13" s="112"/>
      <c r="AR13" s="107"/>
      <c r="AS13" s="105"/>
      <c r="AT13" s="118"/>
      <c r="AU13" s="192"/>
      <c r="AV13" s="118"/>
      <c r="AW13" s="106"/>
      <c r="AX13" s="104"/>
      <c r="AY13" s="105"/>
      <c r="AZ13" s="106"/>
      <c r="BA13" s="129"/>
      <c r="BB13" s="116"/>
      <c r="BC13" s="117"/>
      <c r="BD13" s="107"/>
      <c r="BE13" s="107"/>
      <c r="BF13" s="108"/>
      <c r="BG13" s="104"/>
      <c r="BH13" s="105"/>
      <c r="BI13" s="118"/>
      <c r="BJ13" s="104"/>
      <c r="BK13" s="105"/>
      <c r="BL13" s="106"/>
      <c r="BM13" s="107"/>
      <c r="BN13" s="105"/>
      <c r="BO13" s="106"/>
      <c r="BP13" s="105"/>
      <c r="BQ13" s="105"/>
      <c r="BR13" s="118"/>
      <c r="BS13" s="192"/>
      <c r="BT13" s="118"/>
      <c r="BU13" s="106"/>
      <c r="BV13" s="104"/>
      <c r="BW13" s="105"/>
      <c r="BX13" s="106"/>
      <c r="BY13" s="138"/>
      <c r="BZ13" s="139"/>
      <c r="CA13" s="170"/>
      <c r="CB13" s="138"/>
      <c r="CC13" s="139"/>
      <c r="CD13" s="170"/>
      <c r="CE13" s="119"/>
      <c r="CF13" s="120"/>
      <c r="CG13" s="123"/>
      <c r="CH13" s="138"/>
      <c r="CI13" s="139"/>
      <c r="CJ13" s="140"/>
      <c r="CK13" s="165"/>
      <c r="CL13" s="165"/>
      <c r="CM13" s="165"/>
      <c r="CN13" s="119"/>
      <c r="CO13" s="120"/>
      <c r="CP13" s="121"/>
      <c r="CQ13" s="138"/>
      <c r="CR13" s="139"/>
      <c r="CS13" s="170"/>
      <c r="CT13" s="138"/>
      <c r="CU13" s="139"/>
      <c r="CV13" s="170"/>
      <c r="CW13" s="138"/>
      <c r="CX13" s="139"/>
      <c r="CY13" s="140"/>
      <c r="CZ13" s="226"/>
      <c r="DA13" s="139"/>
      <c r="DB13" s="140"/>
      <c r="DC13" s="221"/>
      <c r="DD13" s="119"/>
      <c r="DE13" s="120"/>
      <c r="DF13" s="121"/>
      <c r="DG13" s="119"/>
      <c r="DH13" s="120"/>
      <c r="DI13" s="120"/>
      <c r="DJ13" s="120"/>
      <c r="DK13" s="120"/>
      <c r="DL13" s="120" t="s">
        <v>56</v>
      </c>
      <c r="DM13" s="120" t="s">
        <v>56</v>
      </c>
      <c r="DN13" s="120"/>
      <c r="DO13" s="121" t="s">
        <v>56</v>
      </c>
    </row>
    <row r="14" spans="1:120" ht="16.5" outlineLevel="1" thickBot="1" x14ac:dyDescent="0.3">
      <c r="A14" s="103" t="s">
        <v>10</v>
      </c>
      <c r="B14" s="104">
        <f>AVERAGE(BY14,CB14)</f>
        <v>75</v>
      </c>
      <c r="C14" s="105">
        <f>AVERAGE(BZ14,CC14)</f>
        <v>20</v>
      </c>
      <c r="D14" s="106">
        <f>AVERAGE(CA14,CD14)</f>
        <v>55</v>
      </c>
      <c r="E14" s="107"/>
      <c r="F14" s="105"/>
      <c r="G14" s="106"/>
      <c r="H14" s="107"/>
      <c r="I14" s="105"/>
      <c r="J14" s="118"/>
      <c r="K14" s="104"/>
      <c r="L14" s="105"/>
      <c r="M14" s="106"/>
      <c r="N14" s="129"/>
      <c r="O14" s="116"/>
      <c r="P14" s="117"/>
      <c r="Q14" s="107"/>
      <c r="R14" s="107"/>
      <c r="S14" s="108"/>
      <c r="T14" s="104"/>
      <c r="U14" s="105"/>
      <c r="V14" s="106"/>
      <c r="W14" s="104"/>
      <c r="X14" s="107"/>
      <c r="Y14" s="109"/>
      <c r="Z14" s="110"/>
      <c r="AA14" s="134"/>
      <c r="AB14" s="135"/>
      <c r="AC14" s="104"/>
      <c r="AD14" s="107"/>
      <c r="AE14" s="109"/>
      <c r="AF14" s="104"/>
      <c r="AG14" s="105"/>
      <c r="AH14" s="106"/>
      <c r="AI14" s="110"/>
      <c r="AJ14" s="134"/>
      <c r="AK14" s="135"/>
      <c r="AL14" s="115"/>
      <c r="AM14" s="116"/>
      <c r="AN14" s="114"/>
      <c r="AO14" s="104"/>
      <c r="AP14" s="107"/>
      <c r="AQ14" s="109"/>
      <c r="AR14" s="107"/>
      <c r="AS14" s="105"/>
      <c r="AT14" s="118"/>
      <c r="AU14" s="189"/>
      <c r="AV14" s="114"/>
      <c r="AW14" s="117"/>
      <c r="AX14" s="115"/>
      <c r="AY14" s="116"/>
      <c r="AZ14" s="117"/>
      <c r="BA14" s="40">
        <f>ISO!B203</f>
        <v>75</v>
      </c>
      <c r="BB14" s="22">
        <f>ISO!B204</f>
        <v>20</v>
      </c>
      <c r="BC14" s="67">
        <f>ISO!B205</f>
        <v>55</v>
      </c>
      <c r="BD14" s="129"/>
      <c r="BE14" s="129"/>
      <c r="BF14" s="113"/>
      <c r="BG14" s="104"/>
      <c r="BH14" s="105"/>
      <c r="BI14" s="118"/>
      <c r="BJ14" s="104"/>
      <c r="BK14" s="105"/>
      <c r="BL14" s="106"/>
      <c r="BM14" s="107"/>
      <c r="BN14" s="105"/>
      <c r="BO14" s="106"/>
      <c r="BP14" s="105"/>
      <c r="BQ14" s="105"/>
      <c r="BR14" s="118"/>
      <c r="BS14" s="192"/>
      <c r="BT14" s="118"/>
      <c r="BU14" s="106"/>
      <c r="BV14" s="104"/>
      <c r="BW14" s="105"/>
      <c r="BX14" s="106"/>
      <c r="BY14" s="100">
        <f>Modelica!B23</f>
        <v>75</v>
      </c>
      <c r="BZ14" s="101">
        <f>Modelica!B24</f>
        <v>20</v>
      </c>
      <c r="CA14" s="169">
        <f>Modelica!B25</f>
        <v>55</v>
      </c>
      <c r="CB14" s="100">
        <f>Modelica!B47</f>
        <v>75</v>
      </c>
      <c r="CC14" s="101">
        <f>Modelica!B48</f>
        <v>20</v>
      </c>
      <c r="CD14" s="169">
        <f>Modelica!B49</f>
        <v>55</v>
      </c>
      <c r="CE14" s="119"/>
      <c r="CF14" s="120"/>
      <c r="CG14" s="123"/>
      <c r="CH14" s="100">
        <f>OAGi!B29</f>
        <v>75</v>
      </c>
      <c r="CI14" s="101">
        <f>OAGi!B30</f>
        <v>20</v>
      </c>
      <c r="CJ14" s="102">
        <f>OAGi!B31</f>
        <v>55</v>
      </c>
      <c r="CK14" s="165"/>
      <c r="CL14" s="165"/>
      <c r="CM14" s="165"/>
      <c r="CN14" s="119"/>
      <c r="CO14" s="120"/>
      <c r="CP14" s="121"/>
      <c r="CQ14" s="100">
        <f>OMG!B29</f>
        <v>75</v>
      </c>
      <c r="CR14" s="101">
        <f>OMG!B30</f>
        <v>20</v>
      </c>
      <c r="CS14" s="169">
        <f>OMG!B31</f>
        <v>55</v>
      </c>
      <c r="CT14" s="100" t="s">
        <v>56</v>
      </c>
      <c r="CU14" s="101" t="s">
        <v>56</v>
      </c>
      <c r="CV14" s="169" t="s">
        <v>56</v>
      </c>
      <c r="CW14" s="100" t="s">
        <v>56</v>
      </c>
      <c r="CX14" s="101" t="s">
        <v>56</v>
      </c>
      <c r="CY14" s="102" t="s">
        <v>56</v>
      </c>
      <c r="CZ14" s="225" t="s">
        <v>56</v>
      </c>
      <c r="DA14" s="101" t="s">
        <v>56</v>
      </c>
      <c r="DB14" s="102" t="s">
        <v>56</v>
      </c>
      <c r="DC14" s="221"/>
      <c r="DD14" s="119" t="s">
        <v>56</v>
      </c>
      <c r="DE14" s="120"/>
      <c r="DF14" s="121"/>
      <c r="DG14" s="119"/>
      <c r="DH14" s="120"/>
      <c r="DI14" s="120"/>
      <c r="DJ14" s="120"/>
      <c r="DK14" s="120"/>
      <c r="DL14" s="120"/>
      <c r="DM14" s="120"/>
      <c r="DN14" s="120"/>
      <c r="DO14" s="121"/>
    </row>
    <row r="15" spans="1:120" ht="16.5" outlineLevel="1" thickBot="1" x14ac:dyDescent="0.3">
      <c r="A15" s="103" t="s">
        <v>11</v>
      </c>
      <c r="B15" s="104">
        <f>AVERAGE(N15,AL15,AU15,AX15)</f>
        <v>75</v>
      </c>
      <c r="C15" s="105">
        <f t="shared" ref="C15:D15" si="34">AVERAGE(O15,AM15,AV15,AY15)</f>
        <v>27.5</v>
      </c>
      <c r="D15" s="106">
        <f t="shared" si="34"/>
        <v>58.75</v>
      </c>
      <c r="E15" s="107"/>
      <c r="F15" s="105"/>
      <c r="G15" s="106"/>
      <c r="H15" s="107"/>
      <c r="I15" s="105"/>
      <c r="J15" s="118"/>
      <c r="K15" s="104"/>
      <c r="L15" s="105"/>
      <c r="M15" s="106"/>
      <c r="N15" s="40">
        <f>AIA!B5</f>
        <v>75</v>
      </c>
      <c r="O15" s="22">
        <f>AIA!B6</f>
        <v>50</v>
      </c>
      <c r="P15" s="67">
        <f>AIA!B7</f>
        <v>25</v>
      </c>
      <c r="Q15" s="107"/>
      <c r="R15" s="107"/>
      <c r="S15" s="108"/>
      <c r="T15" s="104"/>
      <c r="U15" s="105"/>
      <c r="V15" s="106"/>
      <c r="W15" s="104"/>
      <c r="X15" s="107"/>
      <c r="Y15" s="109"/>
      <c r="Z15" s="104"/>
      <c r="AA15" s="105"/>
      <c r="AB15" s="106"/>
      <c r="AC15" s="104"/>
      <c r="AD15" s="107"/>
      <c r="AE15" s="109"/>
      <c r="AF15" s="104"/>
      <c r="AG15" s="105"/>
      <c r="AH15" s="106"/>
      <c r="AI15" s="104"/>
      <c r="AJ15" s="105"/>
      <c r="AK15" s="106"/>
      <c r="AL15" s="65">
        <f>ISO!B29</f>
        <v>75</v>
      </c>
      <c r="AM15" s="22">
        <f>ISO!B30</f>
        <v>20</v>
      </c>
      <c r="AN15" s="39">
        <f>ISO!B31</f>
        <v>55</v>
      </c>
      <c r="AO15" s="104"/>
      <c r="AP15" s="107"/>
      <c r="AQ15" s="109"/>
      <c r="AR15" s="107"/>
      <c r="AS15" s="105"/>
      <c r="AT15" s="118"/>
      <c r="AU15" s="183">
        <f>ISO!B101</f>
        <v>75</v>
      </c>
      <c r="AV15" s="39">
        <f>ISO!B102</f>
        <v>20</v>
      </c>
      <c r="AW15" s="67">
        <f>ISO!B103</f>
        <v>55</v>
      </c>
      <c r="AX15" s="65">
        <f>ISO!B149</f>
        <v>75</v>
      </c>
      <c r="AY15" s="22">
        <f>ISO!B150</f>
        <v>20</v>
      </c>
      <c r="AZ15" s="67">
        <f>ISO!B151</f>
        <v>100</v>
      </c>
      <c r="BA15" s="111"/>
      <c r="BB15" s="134"/>
      <c r="BC15" s="135"/>
      <c r="BD15" s="65">
        <f>ISO!B209</f>
        <v>75</v>
      </c>
      <c r="BE15" s="40">
        <f>ISO!B210</f>
        <v>20</v>
      </c>
      <c r="BF15" s="141">
        <f>ISO!B211</f>
        <v>55</v>
      </c>
      <c r="BG15" s="104"/>
      <c r="BH15" s="105"/>
      <c r="BI15" s="118"/>
      <c r="BJ15" s="104"/>
      <c r="BK15" s="105"/>
      <c r="BL15" s="106"/>
      <c r="BM15" s="107"/>
      <c r="BN15" s="105"/>
      <c r="BO15" s="106"/>
      <c r="BP15" s="105"/>
      <c r="BQ15" s="105"/>
      <c r="BR15" s="118"/>
      <c r="BS15" s="192"/>
      <c r="BT15" s="118"/>
      <c r="BU15" s="106"/>
      <c r="BV15" s="115"/>
      <c r="BW15" s="116"/>
      <c r="BX15" s="117"/>
      <c r="BY15" s="124"/>
      <c r="BZ15" s="125"/>
      <c r="CA15" s="171"/>
      <c r="CB15" s="124"/>
      <c r="CC15" s="125"/>
      <c r="CD15" s="171"/>
      <c r="CE15" s="119"/>
      <c r="CF15" s="120"/>
      <c r="CG15" s="123"/>
      <c r="CH15" s="100">
        <f>OAGi!B35</f>
        <v>75</v>
      </c>
      <c r="CI15" s="101">
        <f>OAGi!B36</f>
        <v>20</v>
      </c>
      <c r="CJ15" s="102">
        <f>OAGi!B37</f>
        <v>55</v>
      </c>
      <c r="CK15" s="165"/>
      <c r="CL15" s="165"/>
      <c r="CM15" s="165"/>
      <c r="CN15" s="119"/>
      <c r="CO15" s="120"/>
      <c r="CP15" s="121"/>
      <c r="CQ15" s="124"/>
      <c r="CR15" s="125"/>
      <c r="CS15" s="171"/>
      <c r="CT15" s="124"/>
      <c r="CU15" s="125"/>
      <c r="CV15" s="171"/>
      <c r="CW15" s="124"/>
      <c r="CX15" s="125"/>
      <c r="CY15" s="126"/>
      <c r="CZ15" s="224"/>
      <c r="DA15" s="125"/>
      <c r="DB15" s="126"/>
      <c r="DC15" s="221"/>
      <c r="DD15" s="119"/>
      <c r="DE15" s="120" t="s">
        <v>56</v>
      </c>
      <c r="DF15" s="121"/>
      <c r="DG15" s="119"/>
      <c r="DH15" s="120"/>
      <c r="DI15" s="120"/>
      <c r="DJ15" s="120"/>
      <c r="DK15" s="120"/>
      <c r="DL15" s="120"/>
      <c r="DM15" s="120"/>
      <c r="DN15" s="120"/>
      <c r="DO15" s="121"/>
    </row>
    <row r="16" spans="1:120" ht="16.5" outlineLevel="1" thickBot="1" x14ac:dyDescent="0.3">
      <c r="A16" s="142" t="s">
        <v>12</v>
      </c>
      <c r="B16" s="104">
        <f>AVERAGE(Q16,AX16)</f>
        <v>57.223618090452263</v>
      </c>
      <c r="C16" s="105">
        <f t="shared" ref="C16:D16" si="35">AVERAGE(R16,AY16)</f>
        <v>51.92307692307692</v>
      </c>
      <c r="D16" s="106">
        <f t="shared" si="35"/>
        <v>39.42307692307692</v>
      </c>
      <c r="E16" s="107"/>
      <c r="F16" s="105"/>
      <c r="G16" s="106"/>
      <c r="H16" s="107"/>
      <c r="I16" s="105"/>
      <c r="J16" s="118"/>
      <c r="K16" s="104"/>
      <c r="L16" s="105"/>
      <c r="M16" s="106"/>
      <c r="N16" s="111"/>
      <c r="O16" s="134"/>
      <c r="P16" s="135"/>
      <c r="Q16" s="65">
        <f>AIA!B17</f>
        <v>75</v>
      </c>
      <c r="R16" s="22">
        <f>AIA!B18</f>
        <v>50</v>
      </c>
      <c r="S16" s="67">
        <f>AIA!B19</f>
        <v>25</v>
      </c>
      <c r="T16" s="104"/>
      <c r="U16" s="105"/>
      <c r="V16" s="106"/>
      <c r="W16" s="104"/>
      <c r="X16" s="107"/>
      <c r="Y16" s="109"/>
      <c r="Z16" s="104"/>
      <c r="AA16" s="105"/>
      <c r="AB16" s="106"/>
      <c r="AC16" s="104"/>
      <c r="AD16" s="107"/>
      <c r="AE16" s="109"/>
      <c r="AF16" s="104"/>
      <c r="AG16" s="105"/>
      <c r="AH16" s="106"/>
      <c r="AI16" s="104"/>
      <c r="AJ16" s="105"/>
      <c r="AK16" s="106"/>
      <c r="AL16" s="110"/>
      <c r="AM16" s="134"/>
      <c r="AN16" s="137"/>
      <c r="AO16" s="104"/>
      <c r="AP16" s="107"/>
      <c r="AQ16" s="109"/>
      <c r="AR16" s="107"/>
      <c r="AS16" s="105"/>
      <c r="AT16" s="118"/>
      <c r="AU16" s="191"/>
      <c r="AV16" s="137"/>
      <c r="AW16" s="135"/>
      <c r="AX16" s="65">
        <f>ISO!B155</f>
        <v>39.447236180904518</v>
      </c>
      <c r="AY16" s="181">
        <f>ISO!B156</f>
        <v>53.846153846153847</v>
      </c>
      <c r="AZ16" s="182">
        <f>ISO!B157</f>
        <v>53.846153846153847</v>
      </c>
      <c r="BA16" s="107"/>
      <c r="BB16" s="105"/>
      <c r="BC16" s="106"/>
      <c r="BD16" s="111"/>
      <c r="BE16" s="111"/>
      <c r="BF16" s="136"/>
      <c r="BG16" s="104"/>
      <c r="BH16" s="105"/>
      <c r="BI16" s="118"/>
      <c r="BJ16" s="104"/>
      <c r="BK16" s="105"/>
      <c r="BL16" s="106"/>
      <c r="BM16" s="107"/>
      <c r="BN16" s="105"/>
      <c r="BO16" s="106"/>
      <c r="BP16" s="105"/>
      <c r="BQ16" s="105"/>
      <c r="BR16" s="118"/>
      <c r="BS16" s="192"/>
      <c r="BT16" s="118"/>
      <c r="BU16" s="106"/>
      <c r="BV16" s="65">
        <f>ISO!B293</f>
        <v>75</v>
      </c>
      <c r="BW16" s="22">
        <f>ISO!B294</f>
        <v>20</v>
      </c>
      <c r="BX16" s="67">
        <f>ISO!B295</f>
        <v>55</v>
      </c>
      <c r="BY16" s="119"/>
      <c r="BZ16" s="120"/>
      <c r="CA16" s="123"/>
      <c r="CB16" s="119"/>
      <c r="CC16" s="120"/>
      <c r="CD16" s="123"/>
      <c r="CE16" s="119"/>
      <c r="CF16" s="120"/>
      <c r="CG16" s="123"/>
      <c r="CH16" s="124"/>
      <c r="CI16" s="125"/>
      <c r="CJ16" s="126"/>
      <c r="CK16" s="165"/>
      <c r="CL16" s="165"/>
      <c r="CM16" s="165"/>
      <c r="CN16" s="119"/>
      <c r="CO16" s="120"/>
      <c r="CP16" s="121"/>
      <c r="CQ16" s="119"/>
      <c r="CR16" s="120"/>
      <c r="CS16" s="123"/>
      <c r="CT16" s="119"/>
      <c r="CU16" s="120"/>
      <c r="CV16" s="123"/>
      <c r="CW16" s="119"/>
      <c r="CX16" s="120"/>
      <c r="CY16" s="121"/>
      <c r="CZ16" s="122"/>
      <c r="DA16" s="120"/>
      <c r="DB16" s="121"/>
      <c r="DC16" s="221"/>
      <c r="DD16" s="119"/>
      <c r="DE16" s="120"/>
      <c r="DF16" s="121"/>
      <c r="DG16" s="119"/>
      <c r="DH16" s="120"/>
      <c r="DI16" s="120"/>
      <c r="DJ16" s="120"/>
      <c r="DK16" s="120"/>
      <c r="DL16" s="120"/>
      <c r="DM16" s="120"/>
      <c r="DN16" s="120"/>
      <c r="DO16" s="121"/>
    </row>
    <row r="17" spans="1:119" ht="16.5" outlineLevel="1" thickBot="1" x14ac:dyDescent="0.3">
      <c r="A17" s="103" t="s">
        <v>13</v>
      </c>
      <c r="B17" s="104">
        <f>AVERAGE(Q17,AX17)</f>
        <v>75</v>
      </c>
      <c r="C17" s="105">
        <f t="shared" ref="C17" si="36">AVERAGE(R17,AY17)</f>
        <v>35</v>
      </c>
      <c r="D17" s="106">
        <f t="shared" ref="D17" si="37">AVERAGE(S17,AZ17)</f>
        <v>40</v>
      </c>
      <c r="E17" s="107"/>
      <c r="F17" s="105"/>
      <c r="G17" s="106"/>
      <c r="H17" s="107"/>
      <c r="I17" s="105"/>
      <c r="J17" s="118"/>
      <c r="K17" s="104"/>
      <c r="L17" s="105"/>
      <c r="M17" s="106"/>
      <c r="N17" s="107"/>
      <c r="O17" s="105"/>
      <c r="P17" s="106"/>
      <c r="Q17" s="65">
        <f>AIA!B23</f>
        <v>75</v>
      </c>
      <c r="R17" s="22">
        <f>AIA!B24</f>
        <v>50</v>
      </c>
      <c r="S17" s="67">
        <f>AIA!B25</f>
        <v>25</v>
      </c>
      <c r="T17" s="104"/>
      <c r="U17" s="105"/>
      <c r="V17" s="106"/>
      <c r="W17" s="104"/>
      <c r="X17" s="107"/>
      <c r="Y17" s="109"/>
      <c r="Z17" s="104"/>
      <c r="AA17" s="105"/>
      <c r="AB17" s="106"/>
      <c r="AC17" s="104"/>
      <c r="AD17" s="107"/>
      <c r="AE17" s="109"/>
      <c r="AF17" s="104"/>
      <c r="AG17" s="105"/>
      <c r="AH17" s="106"/>
      <c r="AI17" s="104"/>
      <c r="AJ17" s="105"/>
      <c r="AK17" s="106"/>
      <c r="AL17" s="104"/>
      <c r="AM17" s="105"/>
      <c r="AN17" s="118"/>
      <c r="AO17" s="104"/>
      <c r="AP17" s="107"/>
      <c r="AQ17" s="109"/>
      <c r="AR17" s="107"/>
      <c r="AS17" s="105"/>
      <c r="AT17" s="118"/>
      <c r="AU17" s="192"/>
      <c r="AV17" s="118"/>
      <c r="AW17" s="106"/>
      <c r="AX17" s="65">
        <f>ISO!B161</f>
        <v>75</v>
      </c>
      <c r="AY17" s="22">
        <f>ISO!B162</f>
        <v>20</v>
      </c>
      <c r="AZ17" s="67">
        <f>ISO!B163</f>
        <v>55</v>
      </c>
      <c r="BA17" s="107"/>
      <c r="BB17" s="105"/>
      <c r="BC17" s="106"/>
      <c r="BD17" s="107"/>
      <c r="BE17" s="107"/>
      <c r="BF17" s="108"/>
      <c r="BG17" s="115"/>
      <c r="BH17" s="116"/>
      <c r="BI17" s="114"/>
      <c r="BJ17" s="68"/>
      <c r="BK17" s="69"/>
      <c r="BL17" s="75"/>
      <c r="BM17" s="107"/>
      <c r="BN17" s="105"/>
      <c r="BO17" s="106"/>
      <c r="BP17" s="105"/>
      <c r="BQ17" s="105"/>
      <c r="BR17" s="118"/>
      <c r="BS17" s="192"/>
      <c r="BT17" s="118"/>
      <c r="BU17" s="106"/>
      <c r="BV17" s="110"/>
      <c r="BW17" s="134"/>
      <c r="BX17" s="135"/>
      <c r="BY17" s="119"/>
      <c r="BZ17" s="120"/>
      <c r="CA17" s="123"/>
      <c r="CB17" s="119"/>
      <c r="CC17" s="120"/>
      <c r="CD17" s="123"/>
      <c r="CE17" s="119"/>
      <c r="CF17" s="120"/>
      <c r="CG17" s="123"/>
      <c r="CH17" s="119"/>
      <c r="CI17" s="120"/>
      <c r="CJ17" s="121"/>
      <c r="CK17" s="165"/>
      <c r="CL17" s="165"/>
      <c r="CM17" s="165"/>
      <c r="CN17" s="119"/>
      <c r="CO17" s="120"/>
      <c r="CP17" s="121"/>
      <c r="CQ17" s="119"/>
      <c r="CR17" s="120"/>
      <c r="CS17" s="123"/>
      <c r="CT17" s="119"/>
      <c r="CU17" s="120"/>
      <c r="CV17" s="123"/>
      <c r="CW17" s="119"/>
      <c r="CX17" s="120"/>
      <c r="CY17" s="121"/>
      <c r="CZ17" s="122"/>
      <c r="DA17" s="120"/>
      <c r="DB17" s="121"/>
      <c r="DC17" s="221"/>
      <c r="DD17" s="119"/>
      <c r="DE17" s="120"/>
      <c r="DF17" s="121"/>
      <c r="DG17" s="119"/>
      <c r="DH17" s="120"/>
      <c r="DI17" s="120"/>
      <c r="DJ17" s="120"/>
      <c r="DK17" s="120"/>
      <c r="DL17" s="120"/>
      <c r="DM17" s="120"/>
      <c r="DN17" s="120"/>
      <c r="DO17" s="121"/>
    </row>
    <row r="18" spans="1:119" ht="16.5" outlineLevel="1" thickBot="1" x14ac:dyDescent="0.3">
      <c r="A18" s="103" t="s">
        <v>14</v>
      </c>
      <c r="B18" s="104">
        <f>AVERAGE(AX18)</f>
        <v>75</v>
      </c>
      <c r="C18" s="105">
        <f t="shared" ref="C18:D18" si="38">AVERAGE(AY18)</f>
        <v>20</v>
      </c>
      <c r="D18" s="106">
        <f t="shared" si="38"/>
        <v>55</v>
      </c>
      <c r="E18" s="107"/>
      <c r="F18" s="105"/>
      <c r="G18" s="106"/>
      <c r="H18" s="107"/>
      <c r="I18" s="105"/>
      <c r="J18" s="118"/>
      <c r="K18" s="104"/>
      <c r="L18" s="105"/>
      <c r="M18" s="106"/>
      <c r="N18" s="107"/>
      <c r="O18" s="105"/>
      <c r="P18" s="106"/>
      <c r="Q18" s="107"/>
      <c r="R18" s="107"/>
      <c r="S18" s="108"/>
      <c r="T18" s="104"/>
      <c r="U18" s="105"/>
      <c r="V18" s="106"/>
      <c r="W18" s="104"/>
      <c r="X18" s="107"/>
      <c r="Y18" s="109"/>
      <c r="Z18" s="104"/>
      <c r="AA18" s="105"/>
      <c r="AB18" s="106"/>
      <c r="AC18" s="104"/>
      <c r="AD18" s="107"/>
      <c r="AE18" s="109"/>
      <c r="AF18" s="104"/>
      <c r="AG18" s="105"/>
      <c r="AH18" s="106"/>
      <c r="AI18" s="104"/>
      <c r="AJ18" s="105"/>
      <c r="AK18" s="106"/>
      <c r="AL18" s="115"/>
      <c r="AM18" s="116"/>
      <c r="AN18" s="114"/>
      <c r="AO18" s="104"/>
      <c r="AP18" s="107"/>
      <c r="AQ18" s="109"/>
      <c r="AR18" s="107"/>
      <c r="AS18" s="105"/>
      <c r="AT18" s="118"/>
      <c r="AU18" s="189"/>
      <c r="AV18" s="114"/>
      <c r="AW18" s="117"/>
      <c r="AX18" s="65">
        <f>ISO!B167</f>
        <v>75</v>
      </c>
      <c r="AY18" s="22">
        <f>ISO!B168</f>
        <v>20</v>
      </c>
      <c r="AZ18" s="67">
        <f>ISO!B169</f>
        <v>55</v>
      </c>
      <c r="BA18" s="107"/>
      <c r="BB18" s="105"/>
      <c r="BC18" s="106"/>
      <c r="BD18" s="107"/>
      <c r="BE18" s="107"/>
      <c r="BF18" s="108"/>
      <c r="BG18" s="65">
        <f>ISO!B221</f>
        <v>75</v>
      </c>
      <c r="BH18" s="22">
        <f>ISO!B222</f>
        <v>20</v>
      </c>
      <c r="BI18" s="67">
        <f>ISO!B223</f>
        <v>55</v>
      </c>
      <c r="BJ18" s="190">
        <f>ISO!B239</f>
        <v>75</v>
      </c>
      <c r="BK18" s="127">
        <f>ISO!B240</f>
        <v>20</v>
      </c>
      <c r="BL18" s="209">
        <f>ISO!B241</f>
        <v>55</v>
      </c>
      <c r="BM18" s="104"/>
      <c r="BN18" s="105"/>
      <c r="BO18" s="106"/>
      <c r="BP18" s="105"/>
      <c r="BQ18" s="105"/>
      <c r="BR18" s="118"/>
      <c r="BS18" s="192"/>
      <c r="BT18" s="118"/>
      <c r="BU18" s="106"/>
      <c r="BV18" s="104"/>
      <c r="BW18" s="105"/>
      <c r="BX18" s="106"/>
      <c r="BY18" s="119"/>
      <c r="BZ18" s="120"/>
      <c r="CA18" s="123"/>
      <c r="CB18" s="119"/>
      <c r="CC18" s="120"/>
      <c r="CD18" s="123"/>
      <c r="CE18" s="119"/>
      <c r="CF18" s="120"/>
      <c r="CG18" s="123"/>
      <c r="CH18" s="119"/>
      <c r="CI18" s="120"/>
      <c r="CJ18" s="121"/>
      <c r="CK18" s="165"/>
      <c r="CL18" s="165"/>
      <c r="CM18" s="165"/>
      <c r="CN18" s="119"/>
      <c r="CO18" s="120"/>
      <c r="CP18" s="121"/>
      <c r="CQ18" s="119"/>
      <c r="CR18" s="120"/>
      <c r="CS18" s="123"/>
      <c r="CT18" s="119"/>
      <c r="CU18" s="120"/>
      <c r="CV18" s="123"/>
      <c r="CW18" s="119"/>
      <c r="CX18" s="120"/>
      <c r="CY18" s="121"/>
      <c r="CZ18" s="122"/>
      <c r="DA18" s="120"/>
      <c r="DB18" s="121"/>
      <c r="DC18" s="221"/>
      <c r="DD18" s="119"/>
      <c r="DE18" s="120"/>
      <c r="DF18" s="121"/>
      <c r="DG18" s="119"/>
      <c r="DH18" s="120"/>
      <c r="DI18" s="120"/>
      <c r="DJ18" s="120"/>
      <c r="DK18" s="120"/>
      <c r="DL18" s="120"/>
      <c r="DM18" s="120"/>
      <c r="DN18" s="120" t="s">
        <v>56</v>
      </c>
      <c r="DO18" s="121"/>
    </row>
    <row r="19" spans="1:119" ht="16.5" outlineLevel="1" thickBot="1" x14ac:dyDescent="0.3">
      <c r="A19" s="103" t="s">
        <v>15</v>
      </c>
      <c r="B19" s="104">
        <f>AVERAGE(Q19,AL19,AU19)</f>
        <v>75</v>
      </c>
      <c r="C19" s="105">
        <f t="shared" ref="C19:D19" si="39">AVERAGE(R19,AM19,AV19)</f>
        <v>30</v>
      </c>
      <c r="D19" s="106">
        <f t="shared" si="39"/>
        <v>45</v>
      </c>
      <c r="E19" s="107"/>
      <c r="F19" s="105"/>
      <c r="G19" s="106"/>
      <c r="H19" s="107"/>
      <c r="I19" s="105"/>
      <c r="J19" s="118"/>
      <c r="K19" s="104"/>
      <c r="L19" s="105"/>
      <c r="M19" s="106"/>
      <c r="N19" s="107"/>
      <c r="O19" s="105"/>
      <c r="P19" s="106"/>
      <c r="Q19" s="65">
        <f>AIA!B29</f>
        <v>75</v>
      </c>
      <c r="R19" s="22">
        <f>AIA!B30</f>
        <v>50</v>
      </c>
      <c r="S19" s="67">
        <f>AIA!B31</f>
        <v>25</v>
      </c>
      <c r="T19" s="104"/>
      <c r="U19" s="105"/>
      <c r="V19" s="106"/>
      <c r="W19" s="104"/>
      <c r="X19" s="107"/>
      <c r="Y19" s="109"/>
      <c r="Z19" s="104"/>
      <c r="AA19" s="105"/>
      <c r="AB19" s="106"/>
      <c r="AC19" s="104"/>
      <c r="AD19" s="107"/>
      <c r="AE19" s="109"/>
      <c r="AF19" s="104"/>
      <c r="AG19" s="105"/>
      <c r="AH19" s="106"/>
      <c r="AI19" s="104"/>
      <c r="AJ19" s="105"/>
      <c r="AK19" s="106"/>
      <c r="AL19" s="65">
        <f>ISO!B35</f>
        <v>75</v>
      </c>
      <c r="AM19" s="22">
        <f>ISO!B36</f>
        <v>20</v>
      </c>
      <c r="AN19" s="39">
        <f>ISO!B37</f>
        <v>55</v>
      </c>
      <c r="AO19" s="104"/>
      <c r="AP19" s="107"/>
      <c r="AQ19" s="109"/>
      <c r="AR19" s="107"/>
      <c r="AS19" s="105"/>
      <c r="AT19" s="118"/>
      <c r="AU19" s="183">
        <f>ISO!B107</f>
        <v>75</v>
      </c>
      <c r="AV19" s="39">
        <f>ISO!B108</f>
        <v>20</v>
      </c>
      <c r="AW19" s="67">
        <f>ISO!B109</f>
        <v>55</v>
      </c>
      <c r="AX19" s="110"/>
      <c r="AY19" s="134"/>
      <c r="AZ19" s="135"/>
      <c r="BA19" s="107"/>
      <c r="BB19" s="105"/>
      <c r="BC19" s="106"/>
      <c r="BD19" s="107"/>
      <c r="BE19" s="107"/>
      <c r="BF19" s="108"/>
      <c r="BG19" s="110"/>
      <c r="BH19" s="134"/>
      <c r="BI19" s="137"/>
      <c r="BJ19" s="88"/>
      <c r="BK19" s="89"/>
      <c r="BL19" s="90"/>
      <c r="BM19" s="107"/>
      <c r="BN19" s="105"/>
      <c r="BO19" s="106"/>
      <c r="BP19" s="105"/>
      <c r="BQ19" s="105"/>
      <c r="BR19" s="118"/>
      <c r="BS19" s="192"/>
      <c r="BT19" s="118"/>
      <c r="BU19" s="106"/>
      <c r="BV19" s="104"/>
      <c r="BW19" s="105"/>
      <c r="BX19" s="106"/>
      <c r="BY19" s="119"/>
      <c r="BZ19" s="120"/>
      <c r="CA19" s="123"/>
      <c r="CB19" s="119"/>
      <c r="CC19" s="120"/>
      <c r="CD19" s="123"/>
      <c r="CE19" s="119"/>
      <c r="CF19" s="120"/>
      <c r="CG19" s="123"/>
      <c r="CH19" s="119"/>
      <c r="CI19" s="120"/>
      <c r="CJ19" s="121"/>
      <c r="CK19" s="165"/>
      <c r="CL19" s="165"/>
      <c r="CM19" s="165"/>
      <c r="CN19" s="119"/>
      <c r="CO19" s="120"/>
      <c r="CP19" s="121"/>
      <c r="CQ19" s="119"/>
      <c r="CR19" s="120"/>
      <c r="CS19" s="123"/>
      <c r="CT19" s="119"/>
      <c r="CU19" s="120"/>
      <c r="CV19" s="123"/>
      <c r="CW19" s="119"/>
      <c r="CX19" s="120"/>
      <c r="CY19" s="121"/>
      <c r="CZ19" s="122"/>
      <c r="DA19" s="120"/>
      <c r="DB19" s="121"/>
      <c r="DC19" s="221"/>
      <c r="DD19" s="119"/>
      <c r="DE19" s="120"/>
      <c r="DF19" s="121"/>
      <c r="DG19" s="119"/>
      <c r="DH19" s="120"/>
      <c r="DI19" s="120"/>
      <c r="DJ19" s="120"/>
      <c r="DK19" s="120"/>
      <c r="DL19" s="120"/>
      <c r="DM19" s="120"/>
      <c r="DN19" s="120"/>
      <c r="DO19" s="121"/>
    </row>
    <row r="20" spans="1:119" ht="16.5" outlineLevel="1" thickBot="1" x14ac:dyDescent="0.3">
      <c r="A20" s="103" t="s">
        <v>16</v>
      </c>
      <c r="B20" s="104">
        <f>AVERAGE(Q20,AL20,AU20)</f>
        <v>75</v>
      </c>
      <c r="C20" s="105">
        <f t="shared" ref="C20" si="40">AVERAGE(R20,AM20,AV20)</f>
        <v>30</v>
      </c>
      <c r="D20" s="106">
        <f t="shared" ref="D20" si="41">AVERAGE(S20,AN20,AW20)</f>
        <v>45</v>
      </c>
      <c r="E20" s="107"/>
      <c r="F20" s="105"/>
      <c r="G20" s="106"/>
      <c r="H20" s="107"/>
      <c r="I20" s="105"/>
      <c r="J20" s="118"/>
      <c r="K20" s="104"/>
      <c r="L20" s="105"/>
      <c r="M20" s="106"/>
      <c r="N20" s="107"/>
      <c r="O20" s="105"/>
      <c r="P20" s="106"/>
      <c r="Q20" s="65">
        <f>AIA!B35</f>
        <v>75</v>
      </c>
      <c r="R20" s="22">
        <f>AIA!B36</f>
        <v>50</v>
      </c>
      <c r="S20" s="67">
        <f>AIA!B37</f>
        <v>25</v>
      </c>
      <c r="T20" s="104"/>
      <c r="U20" s="105"/>
      <c r="V20" s="106"/>
      <c r="W20" s="104"/>
      <c r="X20" s="107"/>
      <c r="Y20" s="109"/>
      <c r="Z20" s="104"/>
      <c r="AA20" s="105"/>
      <c r="AB20" s="106"/>
      <c r="AC20" s="104"/>
      <c r="AD20" s="107"/>
      <c r="AE20" s="109"/>
      <c r="AF20" s="104"/>
      <c r="AG20" s="105"/>
      <c r="AH20" s="106"/>
      <c r="AI20" s="104"/>
      <c r="AJ20" s="105"/>
      <c r="AK20" s="106"/>
      <c r="AL20" s="65">
        <f>ISO!B41</f>
        <v>75</v>
      </c>
      <c r="AM20" s="22">
        <f>ISO!B42</f>
        <v>20</v>
      </c>
      <c r="AN20" s="39">
        <f>ISO!B43</f>
        <v>55</v>
      </c>
      <c r="AO20" s="104"/>
      <c r="AP20" s="107"/>
      <c r="AQ20" s="109"/>
      <c r="AR20" s="107"/>
      <c r="AS20" s="105"/>
      <c r="AT20" s="118"/>
      <c r="AU20" s="183">
        <f>ISO!B113</f>
        <v>75</v>
      </c>
      <c r="AV20" s="39">
        <f>ISO!B114</f>
        <v>20</v>
      </c>
      <c r="AW20" s="67">
        <f>ISO!B115</f>
        <v>55</v>
      </c>
      <c r="AX20" s="115"/>
      <c r="AY20" s="116"/>
      <c r="AZ20" s="117"/>
      <c r="BA20" s="107"/>
      <c r="BB20" s="105"/>
      <c r="BC20" s="106"/>
      <c r="BD20" s="107"/>
      <c r="BE20" s="107"/>
      <c r="BF20" s="108"/>
      <c r="BG20" s="104"/>
      <c r="BH20" s="105"/>
      <c r="BI20" s="118"/>
      <c r="BJ20" s="104"/>
      <c r="BK20" s="105"/>
      <c r="BL20" s="106"/>
      <c r="BM20" s="107"/>
      <c r="BN20" s="105"/>
      <c r="BO20" s="106"/>
      <c r="BP20" s="105"/>
      <c r="BQ20" s="105"/>
      <c r="BR20" s="118"/>
      <c r="BS20" s="192"/>
      <c r="BT20" s="118"/>
      <c r="BU20" s="106"/>
      <c r="BV20" s="104"/>
      <c r="BW20" s="105"/>
      <c r="BX20" s="106"/>
      <c r="BY20" s="119"/>
      <c r="BZ20" s="120"/>
      <c r="CA20" s="123"/>
      <c r="CB20" s="119"/>
      <c r="CC20" s="120"/>
      <c r="CD20" s="123"/>
      <c r="CE20" s="119"/>
      <c r="CF20" s="120"/>
      <c r="CG20" s="123"/>
      <c r="CH20" s="119"/>
      <c r="CI20" s="120"/>
      <c r="CJ20" s="121"/>
      <c r="CK20" s="165"/>
      <c r="CL20" s="165"/>
      <c r="CM20" s="165"/>
      <c r="CN20" s="119"/>
      <c r="CO20" s="120"/>
      <c r="CP20" s="121"/>
      <c r="CQ20" s="119"/>
      <c r="CR20" s="120"/>
      <c r="CS20" s="123"/>
      <c r="CT20" s="119"/>
      <c r="CU20" s="120"/>
      <c r="CV20" s="123"/>
      <c r="CW20" s="119"/>
      <c r="CX20" s="120"/>
      <c r="CY20" s="121"/>
      <c r="CZ20" s="122"/>
      <c r="DA20" s="120"/>
      <c r="DB20" s="121"/>
      <c r="DC20" s="221"/>
      <c r="DD20" s="119"/>
      <c r="DE20" s="120"/>
      <c r="DF20" s="121"/>
      <c r="DG20" s="119"/>
      <c r="DH20" s="120"/>
      <c r="DI20" s="120"/>
      <c r="DJ20" s="120"/>
      <c r="DK20" s="120"/>
      <c r="DL20" s="120"/>
      <c r="DM20" s="120"/>
      <c r="DN20" s="120"/>
      <c r="DO20" s="121"/>
    </row>
    <row r="21" spans="1:119" ht="16.5" outlineLevel="1" thickBot="1" x14ac:dyDescent="0.3">
      <c r="A21" s="103" t="s">
        <v>17</v>
      </c>
      <c r="B21" s="104">
        <f>AVERAGE(AU21,AX21)</f>
        <v>75</v>
      </c>
      <c r="C21" s="105">
        <f t="shared" ref="C21:D21" si="42">AVERAGE(AV21,AY21)</f>
        <v>20</v>
      </c>
      <c r="D21" s="106">
        <f t="shared" si="42"/>
        <v>55</v>
      </c>
      <c r="E21" s="107"/>
      <c r="F21" s="105"/>
      <c r="G21" s="106"/>
      <c r="H21" s="107"/>
      <c r="I21" s="105"/>
      <c r="J21" s="118"/>
      <c r="K21" s="104"/>
      <c r="L21" s="105"/>
      <c r="M21" s="106"/>
      <c r="N21" s="107"/>
      <c r="O21" s="105"/>
      <c r="P21" s="106"/>
      <c r="Q21" s="107"/>
      <c r="R21" s="107"/>
      <c r="S21" s="108"/>
      <c r="T21" s="104"/>
      <c r="U21" s="105"/>
      <c r="V21" s="106"/>
      <c r="W21" s="104"/>
      <c r="X21" s="107"/>
      <c r="Y21" s="109"/>
      <c r="Z21" s="104"/>
      <c r="AA21" s="105"/>
      <c r="AB21" s="106"/>
      <c r="AC21" s="104"/>
      <c r="AD21" s="107"/>
      <c r="AE21" s="109"/>
      <c r="AF21" s="104"/>
      <c r="AG21" s="105"/>
      <c r="AH21" s="106"/>
      <c r="AI21" s="104"/>
      <c r="AJ21" s="105"/>
      <c r="AK21" s="106"/>
      <c r="AL21" s="110"/>
      <c r="AM21" s="134"/>
      <c r="AN21" s="137"/>
      <c r="AO21" s="104"/>
      <c r="AP21" s="107"/>
      <c r="AQ21" s="109"/>
      <c r="AR21" s="107"/>
      <c r="AS21" s="105"/>
      <c r="AT21" s="118"/>
      <c r="AU21" s="183">
        <f>ISO!B119</f>
        <v>75</v>
      </c>
      <c r="AV21" s="39">
        <f>ISO!B120</f>
        <v>20</v>
      </c>
      <c r="AW21" s="67">
        <f>ISO!B121</f>
        <v>55</v>
      </c>
      <c r="AX21" s="65">
        <f>ISO!B173</f>
        <v>75</v>
      </c>
      <c r="AY21" s="22">
        <f>ISO!B174</f>
        <v>20</v>
      </c>
      <c r="AZ21" s="67">
        <f>ISO!B175</f>
        <v>55</v>
      </c>
      <c r="BA21" s="107"/>
      <c r="BB21" s="105"/>
      <c r="BC21" s="106"/>
      <c r="BD21" s="107"/>
      <c r="BE21" s="107"/>
      <c r="BF21" s="108"/>
      <c r="BG21" s="104"/>
      <c r="BH21" s="105"/>
      <c r="BI21" s="118"/>
      <c r="BJ21" s="104"/>
      <c r="BK21" s="105"/>
      <c r="BL21" s="106"/>
      <c r="BM21" s="107"/>
      <c r="BN21" s="105"/>
      <c r="BO21" s="106"/>
      <c r="BP21" s="105"/>
      <c r="BQ21" s="105"/>
      <c r="BR21" s="118"/>
      <c r="BS21" s="192"/>
      <c r="BT21" s="118"/>
      <c r="BU21" s="106"/>
      <c r="BV21" s="104"/>
      <c r="BW21" s="105"/>
      <c r="BX21" s="106"/>
      <c r="BY21" s="119"/>
      <c r="BZ21" s="120"/>
      <c r="CA21" s="123"/>
      <c r="CB21" s="119"/>
      <c r="CC21" s="120"/>
      <c r="CD21" s="123"/>
      <c r="CE21" s="119"/>
      <c r="CF21" s="120"/>
      <c r="CG21" s="123"/>
      <c r="CH21" s="119"/>
      <c r="CI21" s="120"/>
      <c r="CJ21" s="121"/>
      <c r="CK21" s="165"/>
      <c r="CL21" s="165"/>
      <c r="CM21" s="165"/>
      <c r="CN21" s="119"/>
      <c r="CO21" s="120"/>
      <c r="CP21" s="121"/>
      <c r="CQ21" s="119"/>
      <c r="CR21" s="120"/>
      <c r="CS21" s="123"/>
      <c r="CT21" s="119"/>
      <c r="CU21" s="120"/>
      <c r="CV21" s="123"/>
      <c r="CW21" s="119"/>
      <c r="CX21" s="120"/>
      <c r="CY21" s="121"/>
      <c r="CZ21" s="122"/>
      <c r="DA21" s="120"/>
      <c r="DB21" s="121"/>
      <c r="DC21" s="221"/>
      <c r="DD21" s="119"/>
      <c r="DE21" s="120"/>
      <c r="DF21" s="121"/>
      <c r="DG21" s="119"/>
      <c r="DH21" s="120"/>
      <c r="DI21" s="120"/>
      <c r="DJ21" s="120"/>
      <c r="DK21" s="120"/>
      <c r="DL21" s="120"/>
      <c r="DM21" s="120"/>
      <c r="DN21" s="120"/>
      <c r="DO21" s="121"/>
    </row>
    <row r="22" spans="1:119" ht="16.5" outlineLevel="1" thickBot="1" x14ac:dyDescent="0.3">
      <c r="A22" s="103" t="s">
        <v>18</v>
      </c>
      <c r="B22" s="104">
        <f>AVERAGE(AU22,AX22)</f>
        <v>75</v>
      </c>
      <c r="C22" s="105">
        <f t="shared" ref="C22" si="43">AVERAGE(AV22,AY22)</f>
        <v>20</v>
      </c>
      <c r="D22" s="106">
        <f t="shared" ref="D22" si="44">AVERAGE(AW22,AZ22)</f>
        <v>55</v>
      </c>
      <c r="E22" s="107"/>
      <c r="F22" s="105"/>
      <c r="G22" s="106"/>
      <c r="H22" s="107"/>
      <c r="I22" s="105"/>
      <c r="J22" s="118"/>
      <c r="K22" s="104"/>
      <c r="L22" s="105"/>
      <c r="M22" s="106"/>
      <c r="N22" s="107"/>
      <c r="O22" s="105"/>
      <c r="P22" s="106"/>
      <c r="Q22" s="107"/>
      <c r="R22" s="107"/>
      <c r="S22" s="108"/>
      <c r="T22" s="104"/>
      <c r="U22" s="105"/>
      <c r="V22" s="106"/>
      <c r="W22" s="115"/>
      <c r="X22" s="129"/>
      <c r="Y22" s="130"/>
      <c r="Z22" s="104"/>
      <c r="AA22" s="105"/>
      <c r="AB22" s="106"/>
      <c r="AC22" s="104"/>
      <c r="AD22" s="107"/>
      <c r="AE22" s="109"/>
      <c r="AF22" s="104"/>
      <c r="AG22" s="105"/>
      <c r="AH22" s="106"/>
      <c r="AI22" s="104"/>
      <c r="AJ22" s="105"/>
      <c r="AK22" s="106"/>
      <c r="AL22" s="104"/>
      <c r="AM22" s="105"/>
      <c r="AN22" s="118"/>
      <c r="AO22" s="104"/>
      <c r="AP22" s="107"/>
      <c r="AQ22" s="109"/>
      <c r="AR22" s="107"/>
      <c r="AS22" s="105"/>
      <c r="AT22" s="118"/>
      <c r="AU22" s="183">
        <f>ISO!B125</f>
        <v>75</v>
      </c>
      <c r="AV22" s="39">
        <f>ISO!B126</f>
        <v>20</v>
      </c>
      <c r="AW22" s="67">
        <f>ISO!B127</f>
        <v>55</v>
      </c>
      <c r="AX22" s="65">
        <f>ISO!B179</f>
        <v>75</v>
      </c>
      <c r="AY22" s="22">
        <f>ISO!B180</f>
        <v>20</v>
      </c>
      <c r="AZ22" s="67">
        <f>ISO!B181</f>
        <v>55</v>
      </c>
      <c r="BA22" s="107"/>
      <c r="BB22" s="105"/>
      <c r="BC22" s="106"/>
      <c r="BD22" s="107"/>
      <c r="BE22" s="107"/>
      <c r="BF22" s="108"/>
      <c r="BG22" s="115"/>
      <c r="BH22" s="116"/>
      <c r="BI22" s="114"/>
      <c r="BJ22" s="104"/>
      <c r="BK22" s="105"/>
      <c r="BL22" s="106"/>
      <c r="BM22" s="129"/>
      <c r="BN22" s="116"/>
      <c r="BO22" s="117"/>
      <c r="BP22" s="105"/>
      <c r="BQ22" s="105"/>
      <c r="BR22" s="118"/>
      <c r="BS22" s="189"/>
      <c r="BT22" s="114"/>
      <c r="BU22" s="117"/>
      <c r="BV22" s="115"/>
      <c r="BW22" s="116"/>
      <c r="BX22" s="117"/>
      <c r="BY22" s="119"/>
      <c r="BZ22" s="120"/>
      <c r="CA22" s="123"/>
      <c r="CB22" s="119"/>
      <c r="CC22" s="120"/>
      <c r="CD22" s="123"/>
      <c r="CE22" s="119"/>
      <c r="CF22" s="120"/>
      <c r="CG22" s="123"/>
      <c r="CH22" s="119"/>
      <c r="CI22" s="120"/>
      <c r="CJ22" s="121"/>
      <c r="CK22" s="165"/>
      <c r="CL22" s="165"/>
      <c r="CM22" s="165"/>
      <c r="CN22" s="119"/>
      <c r="CO22" s="120"/>
      <c r="CP22" s="121"/>
      <c r="CQ22" s="119"/>
      <c r="CR22" s="120"/>
      <c r="CS22" s="123"/>
      <c r="CT22" s="119"/>
      <c r="CU22" s="120"/>
      <c r="CV22" s="123"/>
      <c r="CW22" s="119"/>
      <c r="CX22" s="120"/>
      <c r="CY22" s="121"/>
      <c r="CZ22" s="122"/>
      <c r="DA22" s="120"/>
      <c r="DB22" s="121"/>
      <c r="DC22" s="221"/>
      <c r="DD22" s="119"/>
      <c r="DE22" s="120"/>
      <c r="DF22" s="121"/>
      <c r="DG22" s="119"/>
      <c r="DH22" s="120"/>
      <c r="DI22" s="120"/>
      <c r="DJ22" s="120"/>
      <c r="DK22" s="120"/>
      <c r="DL22" s="120"/>
      <c r="DM22" s="120"/>
      <c r="DN22" s="120"/>
      <c r="DO22" s="121"/>
    </row>
    <row r="23" spans="1:119" ht="16.5" outlineLevel="1" thickBot="1" x14ac:dyDescent="0.3">
      <c r="A23" s="103" t="s">
        <v>19</v>
      </c>
      <c r="B23" s="104">
        <f>AVERAGE(W23,AX23)</f>
        <v>75</v>
      </c>
      <c r="C23" s="105">
        <f t="shared" ref="C23:D23" si="45">AVERAGE(X23,AY23)</f>
        <v>20</v>
      </c>
      <c r="D23" s="106">
        <f t="shared" si="45"/>
        <v>55</v>
      </c>
      <c r="E23" s="107"/>
      <c r="F23" s="105"/>
      <c r="G23" s="106"/>
      <c r="H23" s="107"/>
      <c r="I23" s="105"/>
      <c r="J23" s="118"/>
      <c r="K23" s="104"/>
      <c r="L23" s="105"/>
      <c r="M23" s="106"/>
      <c r="N23" s="107"/>
      <c r="O23" s="105"/>
      <c r="P23" s="106"/>
      <c r="Q23" s="107"/>
      <c r="R23" s="107"/>
      <c r="S23" s="108"/>
      <c r="T23" s="104"/>
      <c r="U23" s="105"/>
      <c r="V23" s="106"/>
      <c r="W23" s="65">
        <f>ECMA!B5</f>
        <v>75</v>
      </c>
      <c r="X23" s="40">
        <f>ECMA!B6</f>
        <v>20</v>
      </c>
      <c r="Y23" s="66">
        <f>ECMA!B7</f>
        <v>55</v>
      </c>
      <c r="Z23" s="104"/>
      <c r="AA23" s="105"/>
      <c r="AB23" s="106"/>
      <c r="AC23" s="104"/>
      <c r="AD23" s="107"/>
      <c r="AE23" s="109"/>
      <c r="AF23" s="104"/>
      <c r="AG23" s="105"/>
      <c r="AH23" s="106"/>
      <c r="AI23" s="104"/>
      <c r="AJ23" s="105"/>
      <c r="AK23" s="106"/>
      <c r="AL23" s="104"/>
      <c r="AM23" s="105"/>
      <c r="AN23" s="118"/>
      <c r="AO23" s="104"/>
      <c r="AP23" s="107"/>
      <c r="AQ23" s="109"/>
      <c r="AR23" s="107"/>
      <c r="AS23" s="105"/>
      <c r="AT23" s="118"/>
      <c r="AU23" s="191"/>
      <c r="AV23" s="137"/>
      <c r="AW23" s="135"/>
      <c r="AX23" s="65">
        <f>ISO!B185</f>
        <v>75</v>
      </c>
      <c r="AY23" s="22">
        <f>ISO!B186</f>
        <v>20</v>
      </c>
      <c r="AZ23" s="67">
        <f>ISO!B187</f>
        <v>55</v>
      </c>
      <c r="BA23" s="107"/>
      <c r="BB23" s="105"/>
      <c r="BC23" s="106"/>
      <c r="BD23" s="107"/>
      <c r="BE23" s="107"/>
      <c r="BF23" s="108"/>
      <c r="BG23" s="65">
        <f>ISO!B227</f>
        <v>75</v>
      </c>
      <c r="BH23" s="22">
        <f>ISO!B228</f>
        <v>20</v>
      </c>
      <c r="BI23" s="39">
        <f>ISO!B229</f>
        <v>55</v>
      </c>
      <c r="BJ23" s="68"/>
      <c r="BK23" s="69"/>
      <c r="BL23" s="75"/>
      <c r="BM23" s="40">
        <f>ISO!B251</f>
        <v>75</v>
      </c>
      <c r="BN23" s="22">
        <f>ISO!B252</f>
        <v>20</v>
      </c>
      <c r="BO23" s="67">
        <f>ISO!B253</f>
        <v>55</v>
      </c>
      <c r="BP23" s="105"/>
      <c r="BQ23" s="105"/>
      <c r="BR23" s="118"/>
      <c r="BS23" s="183">
        <f>ISO!B275</f>
        <v>75</v>
      </c>
      <c r="BT23" s="39">
        <f>ISO!B276</f>
        <v>20</v>
      </c>
      <c r="BU23" s="67">
        <f>ISO!B277</f>
        <v>55</v>
      </c>
      <c r="BV23" s="65">
        <f>ISO!B299</f>
        <v>75</v>
      </c>
      <c r="BW23" s="22">
        <f>ISO!B300</f>
        <v>20</v>
      </c>
      <c r="BX23" s="67">
        <f>ISO!B301</f>
        <v>55</v>
      </c>
      <c r="BY23" s="119"/>
      <c r="BZ23" s="120"/>
      <c r="CA23" s="123"/>
      <c r="CB23" s="119"/>
      <c r="CC23" s="120"/>
      <c r="CD23" s="123"/>
      <c r="CE23" s="119"/>
      <c r="CF23" s="120"/>
      <c r="CG23" s="123"/>
      <c r="CH23" s="119"/>
      <c r="CI23" s="120"/>
      <c r="CJ23" s="121"/>
      <c r="CK23" s="165"/>
      <c r="CL23" s="165"/>
      <c r="CM23" s="165"/>
      <c r="CN23" s="119"/>
      <c r="CO23" s="120"/>
      <c r="CP23" s="121"/>
      <c r="CQ23" s="119"/>
      <c r="CR23" s="120"/>
      <c r="CS23" s="123"/>
      <c r="CT23" s="119"/>
      <c r="CU23" s="120"/>
      <c r="CV23" s="123"/>
      <c r="CW23" s="119"/>
      <c r="CX23" s="120"/>
      <c r="CY23" s="121"/>
      <c r="CZ23" s="122"/>
      <c r="DA23" s="120"/>
      <c r="DB23" s="121"/>
      <c r="DC23" s="221"/>
      <c r="DD23" s="119"/>
      <c r="DE23" s="120"/>
      <c r="DF23" s="121" t="s">
        <v>56</v>
      </c>
      <c r="DG23" s="119"/>
      <c r="DH23" s="120"/>
      <c r="DI23" s="120"/>
      <c r="DJ23" s="120"/>
      <c r="DK23" s="120"/>
      <c r="DL23" s="120"/>
      <c r="DM23" s="120"/>
      <c r="DN23" s="120"/>
      <c r="DO23" s="121"/>
    </row>
    <row r="24" spans="1:119" ht="16.5" outlineLevel="1" thickBot="1" x14ac:dyDescent="0.3">
      <c r="A24" s="103" t="s">
        <v>20</v>
      </c>
      <c r="B24" s="104">
        <f>AVERAGE(W24,AX24)</f>
        <v>75</v>
      </c>
      <c r="C24" s="105">
        <f t="shared" ref="C24" si="46">AVERAGE(X24,AY24)</f>
        <v>20</v>
      </c>
      <c r="D24" s="106">
        <f t="shared" ref="D24" si="47">AVERAGE(Y24,AZ24)</f>
        <v>55</v>
      </c>
      <c r="E24" s="107"/>
      <c r="F24" s="105"/>
      <c r="G24" s="106"/>
      <c r="H24" s="107"/>
      <c r="I24" s="105"/>
      <c r="J24" s="118"/>
      <c r="K24" s="104"/>
      <c r="L24" s="105"/>
      <c r="M24" s="106"/>
      <c r="N24" s="107"/>
      <c r="O24" s="105"/>
      <c r="P24" s="106"/>
      <c r="Q24" s="107"/>
      <c r="R24" s="107"/>
      <c r="S24" s="108"/>
      <c r="T24" s="104"/>
      <c r="U24" s="105"/>
      <c r="V24" s="106"/>
      <c r="W24" s="65">
        <f>ECMA!B11</f>
        <v>75</v>
      </c>
      <c r="X24" s="40">
        <f>ECMA!B12</f>
        <v>20</v>
      </c>
      <c r="Y24" s="66">
        <f>ECMA!B13</f>
        <v>55</v>
      </c>
      <c r="Z24" s="104"/>
      <c r="AA24" s="105"/>
      <c r="AB24" s="106"/>
      <c r="AC24" s="104"/>
      <c r="AD24" s="107"/>
      <c r="AE24" s="109"/>
      <c r="AF24" s="104"/>
      <c r="AG24" s="105"/>
      <c r="AH24" s="106"/>
      <c r="AI24" s="104"/>
      <c r="AJ24" s="105"/>
      <c r="AK24" s="106"/>
      <c r="AL24" s="104"/>
      <c r="AM24" s="105"/>
      <c r="AN24" s="118"/>
      <c r="AO24" s="104"/>
      <c r="AP24" s="107"/>
      <c r="AQ24" s="109"/>
      <c r="AR24" s="107"/>
      <c r="AS24" s="105"/>
      <c r="AT24" s="118"/>
      <c r="AU24" s="192"/>
      <c r="AV24" s="118"/>
      <c r="AW24" s="106"/>
      <c r="AX24" s="65">
        <f>ISO!B191</f>
        <v>75</v>
      </c>
      <c r="AY24" s="22">
        <f>ISO!B192</f>
        <v>20</v>
      </c>
      <c r="AZ24" s="67">
        <f>ISO!B193</f>
        <v>55</v>
      </c>
      <c r="BA24" s="107"/>
      <c r="BB24" s="105"/>
      <c r="BC24" s="106"/>
      <c r="BD24" s="107"/>
      <c r="BE24" s="107"/>
      <c r="BF24" s="108"/>
      <c r="BG24" s="65">
        <f>ISO!B233</f>
        <v>75</v>
      </c>
      <c r="BH24" s="22">
        <f>ISO!B234</f>
        <v>20</v>
      </c>
      <c r="BI24" s="67">
        <f>ISO!B235</f>
        <v>55</v>
      </c>
      <c r="BJ24" s="190">
        <f>ISO!B245</f>
        <v>75</v>
      </c>
      <c r="BK24" s="127">
        <f>ISO!B246</f>
        <v>20</v>
      </c>
      <c r="BL24" s="209">
        <f>ISO!B247</f>
        <v>55</v>
      </c>
      <c r="BM24" s="65">
        <f>ISO!B257</f>
        <v>75</v>
      </c>
      <c r="BN24" s="22">
        <f>ISO!B258</f>
        <v>20</v>
      </c>
      <c r="BO24" s="67">
        <f>ISO!B259</f>
        <v>55</v>
      </c>
      <c r="BP24" s="105"/>
      <c r="BQ24" s="105"/>
      <c r="BR24" s="118"/>
      <c r="BS24" s="183">
        <f>ISO!B281</f>
        <v>75</v>
      </c>
      <c r="BT24" s="39">
        <f>ISO!B282</f>
        <v>20</v>
      </c>
      <c r="BU24" s="67">
        <f>ISO!B283</f>
        <v>55</v>
      </c>
      <c r="BV24" s="110"/>
      <c r="BW24" s="134"/>
      <c r="BX24" s="135"/>
      <c r="BY24" s="119"/>
      <c r="BZ24" s="120"/>
      <c r="CA24" s="123"/>
      <c r="CB24" s="119"/>
      <c r="CC24" s="120"/>
      <c r="CD24" s="123"/>
      <c r="CE24" s="157"/>
      <c r="CF24" s="158"/>
      <c r="CG24" s="161"/>
      <c r="CH24" s="119"/>
      <c r="CI24" s="120"/>
      <c r="CJ24" s="121"/>
      <c r="CK24" s="205"/>
      <c r="CL24" s="205"/>
      <c r="CM24" s="205"/>
      <c r="CN24" s="119"/>
      <c r="CO24" s="120"/>
      <c r="CP24" s="121"/>
      <c r="CQ24" s="119"/>
      <c r="CR24" s="120"/>
      <c r="CS24" s="123"/>
      <c r="CT24" s="119"/>
      <c r="CU24" s="120"/>
      <c r="CV24" s="123"/>
      <c r="CW24" s="119"/>
      <c r="CX24" s="120"/>
      <c r="CY24" s="121"/>
      <c r="CZ24" s="122"/>
      <c r="DA24" s="120"/>
      <c r="DB24" s="121"/>
      <c r="DC24" s="221"/>
      <c r="DD24" s="119"/>
      <c r="DE24" s="120"/>
      <c r="DF24" s="121"/>
      <c r="DG24" s="119"/>
      <c r="DH24" s="120"/>
      <c r="DI24" s="120"/>
      <c r="DJ24" s="120"/>
      <c r="DK24" s="120"/>
      <c r="DL24" s="120"/>
      <c r="DM24" s="120"/>
      <c r="DN24" s="120" t="s">
        <v>56</v>
      </c>
      <c r="DO24" s="121"/>
    </row>
    <row r="25" spans="1:119" ht="16.5" outlineLevel="1" thickBot="1" x14ac:dyDescent="0.3">
      <c r="A25" s="103" t="s">
        <v>21</v>
      </c>
      <c r="B25" s="104">
        <f>AVERAGE(CE25)</f>
        <v>75</v>
      </c>
      <c r="C25" s="104">
        <f t="shared" ref="C25:D25" si="48">AVERAGE(CF25)</f>
        <v>20</v>
      </c>
      <c r="D25" s="167">
        <f t="shared" si="48"/>
        <v>55</v>
      </c>
      <c r="E25" s="107"/>
      <c r="F25" s="105"/>
      <c r="G25" s="106"/>
      <c r="H25" s="107"/>
      <c r="I25" s="105"/>
      <c r="J25" s="118"/>
      <c r="K25" s="104"/>
      <c r="L25" s="105"/>
      <c r="M25" s="106"/>
      <c r="N25" s="107"/>
      <c r="O25" s="105"/>
      <c r="P25" s="106"/>
      <c r="Q25" s="107"/>
      <c r="R25" s="107"/>
      <c r="S25" s="108"/>
      <c r="T25" s="104"/>
      <c r="U25" s="105"/>
      <c r="V25" s="106"/>
      <c r="W25" s="110"/>
      <c r="X25" s="111"/>
      <c r="Y25" s="112"/>
      <c r="Z25" s="104"/>
      <c r="AA25" s="105"/>
      <c r="AB25" s="106"/>
      <c r="AC25" s="104"/>
      <c r="AD25" s="107"/>
      <c r="AE25" s="109"/>
      <c r="AF25" s="115"/>
      <c r="AG25" s="116"/>
      <c r="AH25" s="117"/>
      <c r="AI25" s="104"/>
      <c r="AJ25" s="105"/>
      <c r="AK25" s="106"/>
      <c r="AL25" s="104"/>
      <c r="AM25" s="105"/>
      <c r="AN25" s="118"/>
      <c r="AO25" s="104"/>
      <c r="AP25" s="107"/>
      <c r="AQ25" s="109"/>
      <c r="AR25" s="129"/>
      <c r="AS25" s="116"/>
      <c r="AT25" s="114"/>
      <c r="AU25" s="192"/>
      <c r="AV25" s="118"/>
      <c r="AW25" s="106"/>
      <c r="AX25" s="110"/>
      <c r="AY25" s="134"/>
      <c r="AZ25" s="135"/>
      <c r="BA25" s="107"/>
      <c r="BB25" s="105"/>
      <c r="BC25" s="106"/>
      <c r="BD25" s="107"/>
      <c r="BE25" s="107"/>
      <c r="BF25" s="108"/>
      <c r="BG25" s="110"/>
      <c r="BH25" s="134"/>
      <c r="BI25" s="137"/>
      <c r="BJ25" s="88"/>
      <c r="BK25" s="89"/>
      <c r="BL25" s="90"/>
      <c r="BM25" s="111"/>
      <c r="BN25" s="134"/>
      <c r="BO25" s="135"/>
      <c r="BP25" s="105"/>
      <c r="BQ25" s="105"/>
      <c r="BR25" s="118"/>
      <c r="BS25" s="191"/>
      <c r="BT25" s="137"/>
      <c r="BU25" s="135"/>
      <c r="BV25" s="115"/>
      <c r="BW25" s="116"/>
      <c r="BX25" s="117"/>
      <c r="BY25" s="119"/>
      <c r="BZ25" s="120"/>
      <c r="CA25" s="123"/>
      <c r="CB25" s="119"/>
      <c r="CC25" s="120"/>
      <c r="CD25" s="121"/>
      <c r="CE25" s="231">
        <f>OAGi!B5</f>
        <v>75</v>
      </c>
      <c r="CF25" s="185">
        <f>OAGi!B6</f>
        <v>20</v>
      </c>
      <c r="CG25" s="185">
        <f>OAGi!B7</f>
        <v>55</v>
      </c>
      <c r="CH25" s="119"/>
      <c r="CI25" s="120"/>
      <c r="CJ25" s="121"/>
      <c r="CK25" s="207" t="s">
        <v>56</v>
      </c>
      <c r="CL25" s="207" t="s">
        <v>56</v>
      </c>
      <c r="CM25" s="208" t="s">
        <v>56</v>
      </c>
      <c r="CN25" s="119"/>
      <c r="CO25" s="120"/>
      <c r="CP25" s="121"/>
      <c r="CQ25" s="119"/>
      <c r="CR25" s="120"/>
      <c r="CS25" s="123"/>
      <c r="CT25" s="119"/>
      <c r="CU25" s="120"/>
      <c r="CV25" s="123"/>
      <c r="CW25" s="119"/>
      <c r="CX25" s="120"/>
      <c r="CY25" s="121"/>
      <c r="CZ25" s="122"/>
      <c r="DA25" s="120"/>
      <c r="DB25" s="121"/>
      <c r="DC25" s="221"/>
      <c r="DD25" s="119"/>
      <c r="DE25" s="120"/>
      <c r="DF25" s="121"/>
      <c r="DG25" s="119"/>
      <c r="DH25" s="120"/>
      <c r="DI25" s="120"/>
      <c r="DJ25" s="120"/>
      <c r="DK25" s="120"/>
      <c r="DL25" s="120"/>
      <c r="DM25" s="120"/>
      <c r="DN25" s="120"/>
      <c r="DO25" s="121"/>
    </row>
    <row r="26" spans="1:119" ht="16.5" outlineLevel="1" thickBot="1" x14ac:dyDescent="0.3">
      <c r="A26" s="103" t="s">
        <v>22</v>
      </c>
      <c r="B26" s="104">
        <f>AVERAGE(AF26,AR26)</f>
        <v>75</v>
      </c>
      <c r="C26" s="105">
        <f t="shared" ref="C26:D26" si="49">AVERAGE(AG26,AS26)</f>
        <v>20</v>
      </c>
      <c r="D26" s="106">
        <f t="shared" si="49"/>
        <v>55</v>
      </c>
      <c r="E26" s="107"/>
      <c r="F26" s="105"/>
      <c r="G26" s="106"/>
      <c r="H26" s="107"/>
      <c r="I26" s="105"/>
      <c r="J26" s="118"/>
      <c r="K26" s="104"/>
      <c r="L26" s="105"/>
      <c r="M26" s="106"/>
      <c r="N26" s="107"/>
      <c r="O26" s="105"/>
      <c r="P26" s="106"/>
      <c r="Q26" s="107"/>
      <c r="R26" s="107"/>
      <c r="S26" s="108"/>
      <c r="T26" s="115"/>
      <c r="U26" s="116"/>
      <c r="V26" s="117"/>
      <c r="W26" s="104"/>
      <c r="X26" s="107"/>
      <c r="Y26" s="109"/>
      <c r="Z26" s="104"/>
      <c r="AA26" s="105"/>
      <c r="AB26" s="106"/>
      <c r="AC26" s="104"/>
      <c r="AD26" s="107"/>
      <c r="AE26" s="109"/>
      <c r="AF26" s="65">
        <f>ISO!B5</f>
        <v>75</v>
      </c>
      <c r="AG26" s="22">
        <f>ISO!B6</f>
        <v>20</v>
      </c>
      <c r="AH26" s="67">
        <f>ISO!B7</f>
        <v>55</v>
      </c>
      <c r="AI26" s="104"/>
      <c r="AJ26" s="105"/>
      <c r="AK26" s="106"/>
      <c r="AL26" s="104"/>
      <c r="AM26" s="105"/>
      <c r="AN26" s="118"/>
      <c r="AO26" s="104"/>
      <c r="AP26" s="107"/>
      <c r="AQ26" s="109"/>
      <c r="AR26" s="40">
        <f>ISO!B71</f>
        <v>75</v>
      </c>
      <c r="AS26" s="22">
        <f>ISO!B72</f>
        <v>20</v>
      </c>
      <c r="AT26" s="39">
        <f>ISO!B73</f>
        <v>55</v>
      </c>
      <c r="AU26" s="192"/>
      <c r="AV26" s="118"/>
      <c r="AW26" s="106"/>
      <c r="AX26" s="104"/>
      <c r="AY26" s="105"/>
      <c r="AZ26" s="106"/>
      <c r="BA26" s="107"/>
      <c r="BB26" s="105"/>
      <c r="BC26" s="106"/>
      <c r="BD26" s="107"/>
      <c r="BE26" s="107"/>
      <c r="BF26" s="108"/>
      <c r="BG26" s="104"/>
      <c r="BH26" s="105"/>
      <c r="BI26" s="118"/>
      <c r="BJ26" s="104"/>
      <c r="BK26" s="105"/>
      <c r="BL26" s="106"/>
      <c r="BM26" s="107"/>
      <c r="BN26" s="105"/>
      <c r="BO26" s="106"/>
      <c r="BP26" s="105"/>
      <c r="BQ26" s="105"/>
      <c r="BR26" s="118"/>
      <c r="BS26" s="192"/>
      <c r="BT26" s="118"/>
      <c r="BU26" s="106"/>
      <c r="BV26" s="65">
        <f>ISO!B305</f>
        <v>75</v>
      </c>
      <c r="BW26" s="22">
        <f>ISO!B306</f>
        <v>20</v>
      </c>
      <c r="BX26" s="67">
        <f>ISO!B307</f>
        <v>55</v>
      </c>
      <c r="BY26" s="119"/>
      <c r="BZ26" s="120"/>
      <c r="CA26" s="123"/>
      <c r="CB26" s="119"/>
      <c r="CC26" s="120"/>
      <c r="CD26" s="123"/>
      <c r="CE26" s="95"/>
      <c r="CF26" s="96"/>
      <c r="CG26" s="99"/>
      <c r="CH26" s="119"/>
      <c r="CI26" s="120"/>
      <c r="CJ26" s="121"/>
      <c r="CK26" s="206"/>
      <c r="CL26" s="206"/>
      <c r="CM26" s="206"/>
      <c r="CN26" s="119"/>
      <c r="CO26" s="120"/>
      <c r="CP26" s="121"/>
      <c r="CQ26" s="119"/>
      <c r="CR26" s="120"/>
      <c r="CS26" s="123"/>
      <c r="CT26" s="119"/>
      <c r="CU26" s="120"/>
      <c r="CV26" s="123"/>
      <c r="CW26" s="119"/>
      <c r="CX26" s="120"/>
      <c r="CY26" s="121"/>
      <c r="CZ26" s="122"/>
      <c r="DA26" s="120"/>
      <c r="DB26" s="121"/>
      <c r="DC26" s="221" t="s">
        <v>56</v>
      </c>
      <c r="DD26" s="119"/>
      <c r="DE26" s="120"/>
      <c r="DF26" s="121"/>
      <c r="DG26" s="119"/>
      <c r="DH26" s="120"/>
      <c r="DI26" s="120"/>
      <c r="DJ26" s="120"/>
      <c r="DK26" s="120"/>
      <c r="DL26" s="120"/>
      <c r="DM26" s="120"/>
      <c r="DN26" s="120"/>
      <c r="DO26" s="121"/>
    </row>
    <row r="27" spans="1:119" ht="16.5" outlineLevel="1" thickBot="1" x14ac:dyDescent="0.3">
      <c r="A27" s="103" t="s">
        <v>23</v>
      </c>
      <c r="B27" s="143">
        <f>AVERAGE(T27)</f>
        <v>75</v>
      </c>
      <c r="C27" s="144">
        <f t="shared" ref="C27:D27" si="50">AVERAGE(U27)</f>
        <v>20</v>
      </c>
      <c r="D27" s="145">
        <f t="shared" si="50"/>
        <v>55</v>
      </c>
      <c r="E27" s="217"/>
      <c r="F27" s="144"/>
      <c r="G27" s="145"/>
      <c r="H27" s="217"/>
      <c r="I27" s="144"/>
      <c r="J27" s="214"/>
      <c r="K27" s="143"/>
      <c r="L27" s="144"/>
      <c r="M27" s="145"/>
      <c r="N27" s="107"/>
      <c r="O27" s="105"/>
      <c r="P27" s="106"/>
      <c r="Q27" s="107"/>
      <c r="R27" s="107"/>
      <c r="S27" s="108"/>
      <c r="T27" s="65">
        <f>ANSI!B5</f>
        <v>75</v>
      </c>
      <c r="U27" s="22">
        <f>ANSI!B6</f>
        <v>20</v>
      </c>
      <c r="V27" s="67">
        <f>ANSI!B7</f>
        <v>55</v>
      </c>
      <c r="W27" s="104"/>
      <c r="X27" s="107"/>
      <c r="Y27" s="109"/>
      <c r="Z27" s="104"/>
      <c r="AA27" s="105"/>
      <c r="AB27" s="106"/>
      <c r="AC27" s="115"/>
      <c r="AD27" s="129"/>
      <c r="AE27" s="130"/>
      <c r="AF27" s="146"/>
      <c r="AG27" s="147"/>
      <c r="AH27" s="148"/>
      <c r="AI27" s="104"/>
      <c r="AJ27" s="105"/>
      <c r="AK27" s="106"/>
      <c r="AL27" s="104"/>
      <c r="AM27" s="105"/>
      <c r="AN27" s="118"/>
      <c r="AO27" s="104"/>
      <c r="AP27" s="107"/>
      <c r="AQ27" s="109"/>
      <c r="AR27" s="111"/>
      <c r="AS27" s="134"/>
      <c r="AT27" s="137"/>
      <c r="AU27" s="192"/>
      <c r="AV27" s="118"/>
      <c r="AW27" s="106"/>
      <c r="AX27" s="104"/>
      <c r="AY27" s="105"/>
      <c r="AZ27" s="106"/>
      <c r="BA27" s="107"/>
      <c r="BB27" s="105"/>
      <c r="BC27" s="106"/>
      <c r="BD27" s="107"/>
      <c r="BE27" s="107"/>
      <c r="BF27" s="108"/>
      <c r="BG27" s="104"/>
      <c r="BH27" s="105"/>
      <c r="BI27" s="118"/>
      <c r="BJ27" s="104"/>
      <c r="BK27" s="105"/>
      <c r="BL27" s="106"/>
      <c r="BM27" s="107"/>
      <c r="BN27" s="105"/>
      <c r="BO27" s="106"/>
      <c r="BP27" s="105"/>
      <c r="BQ27" s="105"/>
      <c r="BR27" s="118"/>
      <c r="BS27" s="192"/>
      <c r="BT27" s="118"/>
      <c r="BU27" s="106"/>
      <c r="BV27" s="110"/>
      <c r="BW27" s="134"/>
      <c r="BX27" s="135"/>
      <c r="BY27" s="119"/>
      <c r="BZ27" s="120"/>
      <c r="CA27" s="123"/>
      <c r="CB27" s="119"/>
      <c r="CC27" s="120"/>
      <c r="CD27" s="123"/>
      <c r="CE27" s="119"/>
      <c r="CF27" s="120"/>
      <c r="CG27" s="123"/>
      <c r="CH27" s="119"/>
      <c r="CI27" s="120"/>
      <c r="CJ27" s="121"/>
      <c r="CK27" s="165"/>
      <c r="CL27" s="165"/>
      <c r="CM27" s="165"/>
      <c r="CN27" s="119"/>
      <c r="CO27" s="120"/>
      <c r="CP27" s="121"/>
      <c r="CQ27" s="119"/>
      <c r="CR27" s="120"/>
      <c r="CS27" s="123"/>
      <c r="CT27" s="119"/>
      <c r="CU27" s="120"/>
      <c r="CV27" s="123"/>
      <c r="CW27" s="119"/>
      <c r="CX27" s="120"/>
      <c r="CY27" s="121"/>
      <c r="CZ27" s="122"/>
      <c r="DA27" s="120"/>
      <c r="DB27" s="121"/>
      <c r="DC27" s="221"/>
      <c r="DD27" s="119"/>
      <c r="DE27" s="120"/>
      <c r="DF27" s="121"/>
      <c r="DG27" s="119"/>
      <c r="DH27" s="120"/>
      <c r="DI27" s="120"/>
      <c r="DJ27" s="120"/>
      <c r="DK27" s="120"/>
      <c r="DL27" s="120"/>
      <c r="DM27" s="120"/>
      <c r="DN27" s="120"/>
      <c r="DO27" s="121"/>
    </row>
    <row r="28" spans="1:119" ht="16.5" outlineLevel="1" thickBot="1" x14ac:dyDescent="0.3">
      <c r="A28" s="103" t="s">
        <v>24</v>
      </c>
      <c r="B28" s="143">
        <f>AVERAGE(T28,AC28,AF28)</f>
        <v>75</v>
      </c>
      <c r="C28" s="144">
        <f t="shared" ref="C28:D28" si="51">AVERAGE(U28,AD28,AG28)</f>
        <v>20</v>
      </c>
      <c r="D28" s="145">
        <f t="shared" si="51"/>
        <v>55</v>
      </c>
      <c r="E28" s="217"/>
      <c r="F28" s="144"/>
      <c r="G28" s="145"/>
      <c r="H28" s="217"/>
      <c r="I28" s="144"/>
      <c r="J28" s="214"/>
      <c r="K28" s="143"/>
      <c r="L28" s="144"/>
      <c r="M28" s="145"/>
      <c r="N28" s="107"/>
      <c r="O28" s="105"/>
      <c r="P28" s="106"/>
      <c r="Q28" s="107"/>
      <c r="R28" s="107"/>
      <c r="S28" s="108"/>
      <c r="T28" s="65">
        <f>ANSI!B11</f>
        <v>75</v>
      </c>
      <c r="U28" s="22">
        <f>ANSI!B12</f>
        <v>20</v>
      </c>
      <c r="V28" s="67">
        <f>ANSI!B13</f>
        <v>55</v>
      </c>
      <c r="W28" s="104"/>
      <c r="X28" s="107"/>
      <c r="Y28" s="109"/>
      <c r="Z28" s="104"/>
      <c r="AA28" s="105"/>
      <c r="AB28" s="106"/>
      <c r="AC28" s="65">
        <f>ISA!B5</f>
        <v>75</v>
      </c>
      <c r="AD28" s="40">
        <f>ISA!B6</f>
        <v>20</v>
      </c>
      <c r="AE28" s="66">
        <f>ISA!B7</f>
        <v>55</v>
      </c>
      <c r="AF28" s="65">
        <f>ISO!B11</f>
        <v>75</v>
      </c>
      <c r="AG28" s="22">
        <f>ISO!B12</f>
        <v>20</v>
      </c>
      <c r="AH28" s="67">
        <f>ISO!B13</f>
        <v>55</v>
      </c>
      <c r="AI28" s="104"/>
      <c r="AJ28" s="105"/>
      <c r="AK28" s="106"/>
      <c r="AL28" s="104"/>
      <c r="AM28" s="105"/>
      <c r="AN28" s="118"/>
      <c r="AO28" s="104"/>
      <c r="AP28" s="107"/>
      <c r="AQ28" s="109"/>
      <c r="AR28" s="107"/>
      <c r="AS28" s="105"/>
      <c r="AT28" s="118"/>
      <c r="AU28" s="192"/>
      <c r="AV28" s="118"/>
      <c r="AW28" s="106"/>
      <c r="AX28" s="104"/>
      <c r="AY28" s="105"/>
      <c r="AZ28" s="106"/>
      <c r="BA28" s="107"/>
      <c r="BB28" s="105"/>
      <c r="BC28" s="106"/>
      <c r="BD28" s="107"/>
      <c r="BE28" s="107"/>
      <c r="BF28" s="108"/>
      <c r="BG28" s="104"/>
      <c r="BH28" s="105"/>
      <c r="BI28" s="118"/>
      <c r="BJ28" s="104"/>
      <c r="BK28" s="105"/>
      <c r="BL28" s="106"/>
      <c r="BM28" s="107"/>
      <c r="BN28" s="105"/>
      <c r="BO28" s="106"/>
      <c r="BP28" s="105"/>
      <c r="BQ28" s="105"/>
      <c r="BR28" s="118"/>
      <c r="BS28" s="192"/>
      <c r="BT28" s="118"/>
      <c r="BU28" s="106"/>
      <c r="BV28" s="104"/>
      <c r="BW28" s="105"/>
      <c r="BX28" s="106"/>
      <c r="BY28" s="119"/>
      <c r="BZ28" s="120"/>
      <c r="CA28" s="123"/>
      <c r="CB28" s="119"/>
      <c r="CC28" s="120"/>
      <c r="CD28" s="123"/>
      <c r="CE28" s="119"/>
      <c r="CF28" s="120"/>
      <c r="CG28" s="123"/>
      <c r="CH28" s="119"/>
      <c r="CI28" s="120"/>
      <c r="CJ28" s="121"/>
      <c r="CK28" s="165"/>
      <c r="CL28" s="165"/>
      <c r="CM28" s="165"/>
      <c r="CN28" s="119"/>
      <c r="CO28" s="120"/>
      <c r="CP28" s="121"/>
      <c r="CQ28" s="119"/>
      <c r="CR28" s="120"/>
      <c r="CS28" s="123"/>
      <c r="CT28" s="119"/>
      <c r="CU28" s="120"/>
      <c r="CV28" s="123"/>
      <c r="CW28" s="119"/>
      <c r="CX28" s="120"/>
      <c r="CY28" s="121"/>
      <c r="CZ28" s="122"/>
      <c r="DA28" s="120"/>
      <c r="DB28" s="121"/>
      <c r="DC28" s="221"/>
      <c r="DD28" s="119"/>
      <c r="DE28" s="120"/>
      <c r="DF28" s="121"/>
      <c r="DG28" s="119"/>
      <c r="DH28" s="120"/>
      <c r="DI28" s="120"/>
      <c r="DJ28" s="120"/>
      <c r="DK28" s="120"/>
      <c r="DL28" s="120"/>
      <c r="DM28" s="120"/>
      <c r="DN28" s="120"/>
      <c r="DO28" s="121"/>
    </row>
    <row r="29" spans="1:119" ht="16.5" outlineLevel="1" thickBot="1" x14ac:dyDescent="0.3">
      <c r="A29" s="103" t="s">
        <v>25</v>
      </c>
      <c r="B29" s="143">
        <f>AVERAGE(AC29,AF29)</f>
        <v>75</v>
      </c>
      <c r="C29" s="144">
        <f t="shared" ref="C29:D29" si="52">AVERAGE(AD29,AG29)</f>
        <v>20</v>
      </c>
      <c r="D29" s="145">
        <f t="shared" si="52"/>
        <v>55</v>
      </c>
      <c r="E29" s="217"/>
      <c r="F29" s="144"/>
      <c r="G29" s="145"/>
      <c r="H29" s="217"/>
      <c r="I29" s="144"/>
      <c r="J29" s="214"/>
      <c r="K29" s="143"/>
      <c r="L29" s="144"/>
      <c r="M29" s="145"/>
      <c r="N29" s="107"/>
      <c r="O29" s="105"/>
      <c r="P29" s="106"/>
      <c r="Q29" s="107"/>
      <c r="R29" s="107"/>
      <c r="S29" s="108"/>
      <c r="T29" s="110"/>
      <c r="U29" s="134"/>
      <c r="V29" s="135"/>
      <c r="W29" s="104"/>
      <c r="X29" s="107"/>
      <c r="Y29" s="109"/>
      <c r="Z29" s="104"/>
      <c r="AA29" s="105"/>
      <c r="AB29" s="106"/>
      <c r="AC29" s="65">
        <f>ISA!B11</f>
        <v>75</v>
      </c>
      <c r="AD29" s="40">
        <f>ISA!B12</f>
        <v>20</v>
      </c>
      <c r="AE29" s="66">
        <f>ISA!B13</f>
        <v>55</v>
      </c>
      <c r="AF29" s="65">
        <f>ISO!B17</f>
        <v>75</v>
      </c>
      <c r="AG29" s="22">
        <f>ISO!B18</f>
        <v>20</v>
      </c>
      <c r="AH29" s="67">
        <f>ISO!B19</f>
        <v>55</v>
      </c>
      <c r="AI29" s="104"/>
      <c r="AJ29" s="105"/>
      <c r="AK29" s="106"/>
      <c r="AL29" s="104"/>
      <c r="AM29" s="105"/>
      <c r="AN29" s="118"/>
      <c r="AO29" s="104"/>
      <c r="AP29" s="107"/>
      <c r="AQ29" s="109"/>
      <c r="AR29" s="107"/>
      <c r="AS29" s="105"/>
      <c r="AT29" s="118"/>
      <c r="AU29" s="192"/>
      <c r="AV29" s="118"/>
      <c r="AW29" s="106"/>
      <c r="AX29" s="115"/>
      <c r="AY29" s="116"/>
      <c r="AZ29" s="117"/>
      <c r="BA29" s="107"/>
      <c r="BB29" s="105"/>
      <c r="BC29" s="106"/>
      <c r="BD29" s="129"/>
      <c r="BE29" s="129"/>
      <c r="BF29" s="113"/>
      <c r="BG29" s="104"/>
      <c r="BH29" s="105"/>
      <c r="BI29" s="118"/>
      <c r="BJ29" s="104"/>
      <c r="BK29" s="105"/>
      <c r="BL29" s="106"/>
      <c r="BM29" s="129"/>
      <c r="BN29" s="116"/>
      <c r="BO29" s="117"/>
      <c r="BP29" s="116"/>
      <c r="BQ29" s="116"/>
      <c r="BR29" s="114"/>
      <c r="BS29" s="189"/>
      <c r="BT29" s="114"/>
      <c r="BU29" s="117"/>
      <c r="BV29" s="104"/>
      <c r="BW29" s="105"/>
      <c r="BX29" s="106"/>
      <c r="BY29" s="119"/>
      <c r="BZ29" s="120"/>
      <c r="CA29" s="123"/>
      <c r="CB29" s="119"/>
      <c r="CC29" s="120"/>
      <c r="CD29" s="123"/>
      <c r="CE29" s="119"/>
      <c r="CF29" s="120"/>
      <c r="CG29" s="123"/>
      <c r="CH29" s="119"/>
      <c r="CI29" s="120"/>
      <c r="CJ29" s="121"/>
      <c r="CK29" s="165"/>
      <c r="CL29" s="165"/>
      <c r="CM29" s="165"/>
      <c r="CN29" s="119"/>
      <c r="CO29" s="120"/>
      <c r="CP29" s="121"/>
      <c r="CQ29" s="119"/>
      <c r="CR29" s="120"/>
      <c r="CS29" s="123"/>
      <c r="CT29" s="119"/>
      <c r="CU29" s="120"/>
      <c r="CV29" s="123"/>
      <c r="CW29" s="119"/>
      <c r="CX29" s="120"/>
      <c r="CY29" s="121"/>
      <c r="CZ29" s="122"/>
      <c r="DA29" s="120"/>
      <c r="DB29" s="121"/>
      <c r="DC29" s="221"/>
      <c r="DD29" s="119"/>
      <c r="DE29" s="120"/>
      <c r="DF29" s="121"/>
      <c r="DG29" s="119"/>
      <c r="DH29" s="120"/>
      <c r="DI29" s="120"/>
      <c r="DJ29" s="120"/>
      <c r="DK29" s="120"/>
      <c r="DL29" s="120"/>
      <c r="DM29" s="120"/>
      <c r="DN29" s="120"/>
      <c r="DO29" s="121"/>
    </row>
    <row r="30" spans="1:119" ht="16.5" outlineLevel="1" thickBot="1" x14ac:dyDescent="0.3">
      <c r="A30" s="149" t="s">
        <v>26</v>
      </c>
      <c r="B30" s="150">
        <f>AVERAGE(AX30)</f>
        <v>75</v>
      </c>
      <c r="C30" s="151">
        <f t="shared" ref="C30:D30" si="53">AVERAGE(AY30)</f>
        <v>20</v>
      </c>
      <c r="D30" s="152">
        <f t="shared" si="53"/>
        <v>55</v>
      </c>
      <c r="E30" s="218"/>
      <c r="F30" s="151"/>
      <c r="G30" s="152"/>
      <c r="H30" s="218"/>
      <c r="I30" s="151"/>
      <c r="J30" s="215"/>
      <c r="K30" s="150"/>
      <c r="L30" s="151"/>
      <c r="M30" s="152"/>
      <c r="N30" s="70"/>
      <c r="O30" s="69"/>
      <c r="P30" s="75"/>
      <c r="Q30" s="70"/>
      <c r="R30" s="70"/>
      <c r="S30" s="153"/>
      <c r="T30" s="68"/>
      <c r="U30" s="69"/>
      <c r="V30" s="75"/>
      <c r="W30" s="68"/>
      <c r="X30" s="70"/>
      <c r="Y30" s="154"/>
      <c r="Z30" s="68"/>
      <c r="AA30" s="69"/>
      <c r="AB30" s="75"/>
      <c r="AC30" s="73"/>
      <c r="AD30" s="24"/>
      <c r="AE30" s="155"/>
      <c r="AF30" s="73"/>
      <c r="AG30" s="23"/>
      <c r="AH30" s="74"/>
      <c r="AI30" s="68"/>
      <c r="AJ30" s="69"/>
      <c r="AK30" s="75"/>
      <c r="AL30" s="68"/>
      <c r="AM30" s="69"/>
      <c r="AN30" s="156"/>
      <c r="AO30" s="68"/>
      <c r="AP30" s="70"/>
      <c r="AQ30" s="154"/>
      <c r="AR30" s="70"/>
      <c r="AS30" s="69"/>
      <c r="AT30" s="156"/>
      <c r="AU30" s="193"/>
      <c r="AV30" s="156"/>
      <c r="AW30" s="75"/>
      <c r="AX30" s="65">
        <f>ISO!B197</f>
        <v>75</v>
      </c>
      <c r="AY30" s="22">
        <f>ISO!B198</f>
        <v>20</v>
      </c>
      <c r="AZ30" s="67">
        <f>ISO!B199</f>
        <v>55</v>
      </c>
      <c r="BA30" s="70"/>
      <c r="BB30" s="69"/>
      <c r="BC30" s="75"/>
      <c r="BD30" s="65">
        <f>ISO!B215</f>
        <v>75</v>
      </c>
      <c r="BE30" s="40">
        <f>ISO!B216</f>
        <v>20</v>
      </c>
      <c r="BF30" s="141">
        <f>ISO!B217</f>
        <v>55</v>
      </c>
      <c r="BG30" s="68"/>
      <c r="BH30" s="69"/>
      <c r="BI30" s="156"/>
      <c r="BJ30" s="68"/>
      <c r="BK30" s="69"/>
      <c r="BL30" s="75"/>
      <c r="BM30" s="40">
        <f>ISO!B263</f>
        <v>75</v>
      </c>
      <c r="BN30" s="22">
        <f>ISO!B264</f>
        <v>20</v>
      </c>
      <c r="BO30" s="67">
        <f>ISO!B265</f>
        <v>55</v>
      </c>
      <c r="BP30" s="65">
        <f>ISO!B269</f>
        <v>75</v>
      </c>
      <c r="BQ30" s="22">
        <f>ISO!B270</f>
        <v>20</v>
      </c>
      <c r="BR30" s="67">
        <f>ISO!B271</f>
        <v>55</v>
      </c>
      <c r="BS30" s="183">
        <f>ISO!B287</f>
        <v>75</v>
      </c>
      <c r="BT30" s="39">
        <f>ISO!B288</f>
        <v>20</v>
      </c>
      <c r="BU30" s="67">
        <f>ISO!B289</f>
        <v>55</v>
      </c>
      <c r="BV30" s="68"/>
      <c r="BW30" s="69"/>
      <c r="BX30" s="75"/>
      <c r="BY30" s="157"/>
      <c r="BZ30" s="158"/>
      <c r="CA30" s="161"/>
      <c r="CB30" s="157"/>
      <c r="CC30" s="158"/>
      <c r="CD30" s="161"/>
      <c r="CE30" s="157"/>
      <c r="CF30" s="158"/>
      <c r="CG30" s="161"/>
      <c r="CH30" s="157"/>
      <c r="CI30" s="158"/>
      <c r="CJ30" s="159"/>
      <c r="CK30" s="166"/>
      <c r="CL30" s="166"/>
      <c r="CM30" s="166"/>
      <c r="CN30" s="157"/>
      <c r="CO30" s="158"/>
      <c r="CP30" s="159"/>
      <c r="CQ30" s="157"/>
      <c r="CR30" s="158"/>
      <c r="CS30" s="161"/>
      <c r="CT30" s="157"/>
      <c r="CU30" s="158"/>
      <c r="CV30" s="161"/>
      <c r="CW30" s="157"/>
      <c r="CX30" s="158"/>
      <c r="CY30" s="159"/>
      <c r="CZ30" s="160"/>
      <c r="DA30" s="158"/>
      <c r="DB30" s="159"/>
      <c r="DC30" s="222"/>
      <c r="DD30" s="157"/>
      <c r="DE30" s="158" t="s">
        <v>56</v>
      </c>
      <c r="DF30" s="159"/>
      <c r="DG30" s="157"/>
      <c r="DH30" s="158"/>
      <c r="DI30" s="158"/>
      <c r="DJ30" s="158"/>
      <c r="DK30" s="158"/>
      <c r="DL30" s="158"/>
      <c r="DM30" s="158"/>
      <c r="DN30" s="158"/>
      <c r="DO30" s="159"/>
    </row>
    <row r="31" spans="1:119" x14ac:dyDescent="0.25"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/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/>
      <c r="CI31" s="1"/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/>
      <c r="DO31" s="1"/>
    </row>
  </sheetData>
  <dataConsolidate/>
  <mergeCells count="47">
    <mergeCell ref="DG1:DO1"/>
    <mergeCell ref="DD1:DF1"/>
    <mergeCell ref="Q2:S2"/>
    <mergeCell ref="T1:V1"/>
    <mergeCell ref="T2:V2"/>
    <mergeCell ref="N1:S1"/>
    <mergeCell ref="W2:Y2"/>
    <mergeCell ref="Z2:AB2"/>
    <mergeCell ref="Z1:AB1"/>
    <mergeCell ref="AF2:AH2"/>
    <mergeCell ref="CQ2:CS2"/>
    <mergeCell ref="CN2:CP2"/>
    <mergeCell ref="CE1:CM1"/>
    <mergeCell ref="CN1:DB1"/>
    <mergeCell ref="A1:D3"/>
    <mergeCell ref="BD2:BF2"/>
    <mergeCell ref="BG2:BI2"/>
    <mergeCell ref="BY2:CA2"/>
    <mergeCell ref="CB2:CD2"/>
    <mergeCell ref="BY1:CD1"/>
    <mergeCell ref="AC2:AE2"/>
    <mergeCell ref="AC1:AE1"/>
    <mergeCell ref="AI2:AK2"/>
    <mergeCell ref="AL2:AN2"/>
    <mergeCell ref="AF1:BX1"/>
    <mergeCell ref="AX2:AZ2"/>
    <mergeCell ref="BA2:BC2"/>
    <mergeCell ref="AO2:AQ2"/>
    <mergeCell ref="E1:M1"/>
    <mergeCell ref="E2:G2"/>
    <mergeCell ref="H2:J2"/>
    <mergeCell ref="K2:M2"/>
    <mergeCell ref="BM2:BO2"/>
    <mergeCell ref="AR2:AT2"/>
    <mergeCell ref="AU2:AW2"/>
    <mergeCell ref="W1:Y1"/>
    <mergeCell ref="N2:P2"/>
    <mergeCell ref="CW2:CY2"/>
    <mergeCell ref="CZ2:DB2"/>
    <mergeCell ref="BJ2:BL2"/>
    <mergeCell ref="BP2:BR2"/>
    <mergeCell ref="BS2:BU2"/>
    <mergeCell ref="CK2:CM2"/>
    <mergeCell ref="CT2:CV2"/>
    <mergeCell ref="BV2:BX2"/>
    <mergeCell ref="CE2:CG2"/>
    <mergeCell ref="CH2:CJ2"/>
  </mergeCells>
  <conditionalFormatting sqref="A1:XFD1048576">
    <cfRule type="iconSet" priority="1">
      <iconSet iconSet="4TrafficLights">
        <cfvo type="percent" val="0"/>
        <cfvo type="percent" val="25"/>
        <cfvo type="percent" val="50"/>
        <cfvo type="percent" val="75"/>
      </iconSet>
    </cfRule>
  </conditionalFormatting>
  <pageMargins left="0.7" right="0.7" top="0.75" bottom="0.75" header="0.3" footer="0.3"/>
  <pageSetup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.75" x14ac:dyDescent="0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7"/>
  <sheetViews>
    <sheetView zoomScaleNormal="100" workbookViewId="0">
      <selection activeCell="B36" sqref="B36"/>
    </sheetView>
  </sheetViews>
  <sheetFormatPr defaultColWidth="8.875" defaultRowHeight="15.75" x14ac:dyDescent="0.25"/>
  <cols>
    <col min="1" max="1" width="30.875" customWidth="1"/>
    <col min="2" max="2" width="30.875" style="3" customWidth="1"/>
    <col min="3" max="3" width="9" style="3" bestFit="1" customWidth="1"/>
    <col min="4" max="4" width="12.5" style="3" bestFit="1" customWidth="1"/>
    <col min="5" max="7" width="30.875" customWidth="1"/>
  </cols>
  <sheetData>
    <row r="1" spans="1:7" ht="21.75" thickBot="1" x14ac:dyDescent="0.4">
      <c r="A1" s="32" t="s">
        <v>85</v>
      </c>
      <c r="B1" s="33" t="s">
        <v>69</v>
      </c>
      <c r="C1" s="41"/>
      <c r="D1" s="41"/>
      <c r="E1" s="34" t="s">
        <v>97</v>
      </c>
      <c r="F1" s="35" t="s">
        <v>98</v>
      </c>
      <c r="G1" s="36" t="s">
        <v>99</v>
      </c>
    </row>
    <row r="2" spans="1:7" x14ac:dyDescent="0.25">
      <c r="A2" s="30" t="s">
        <v>83</v>
      </c>
      <c r="B2" s="31" t="s">
        <v>84</v>
      </c>
      <c r="C2" s="42" t="s">
        <v>111</v>
      </c>
      <c r="D2" s="42" t="s">
        <v>110</v>
      </c>
      <c r="E2" s="4"/>
      <c r="F2" s="4"/>
      <c r="G2" s="5"/>
    </row>
    <row r="3" spans="1:7" x14ac:dyDescent="0.25">
      <c r="A3" s="12" t="s">
        <v>86</v>
      </c>
      <c r="B3" s="13" t="s">
        <v>87</v>
      </c>
      <c r="C3" s="43"/>
      <c r="D3" s="43"/>
      <c r="E3" s="6"/>
      <c r="F3" s="6"/>
      <c r="G3" s="7"/>
    </row>
    <row r="4" spans="1:7" ht="16.5" thickBot="1" x14ac:dyDescent="0.3">
      <c r="A4" s="12" t="s">
        <v>91</v>
      </c>
      <c r="B4" s="13" t="s">
        <v>11</v>
      </c>
      <c r="C4" s="43"/>
      <c r="D4" s="43"/>
      <c r="E4" s="8"/>
      <c r="F4" s="8"/>
      <c r="G4" s="9"/>
    </row>
    <row r="5" spans="1:7" x14ac:dyDescent="0.25">
      <c r="A5" s="12" t="s">
        <v>88</v>
      </c>
      <c r="B5" s="13">
        <v>75</v>
      </c>
      <c r="C5" s="44"/>
      <c r="D5" s="44"/>
      <c r="E5" s="11"/>
      <c r="F5" s="17"/>
      <c r="G5" s="18"/>
    </row>
    <row r="6" spans="1:7" x14ac:dyDescent="0.25">
      <c r="A6" s="12" t="s">
        <v>89</v>
      </c>
      <c r="B6" s="13">
        <v>50</v>
      </c>
      <c r="C6" s="45"/>
      <c r="D6" s="45"/>
      <c r="E6" s="12"/>
      <c r="F6" s="10"/>
      <c r="G6" s="19"/>
    </row>
    <row r="7" spans="1:7" ht="16.5" thickBot="1" x14ac:dyDescent="0.3">
      <c r="A7" s="14" t="s">
        <v>90</v>
      </c>
      <c r="B7" s="15">
        <v>25</v>
      </c>
      <c r="C7" s="46"/>
      <c r="D7" s="46"/>
      <c r="E7" s="14"/>
      <c r="F7" s="20"/>
      <c r="G7" s="21"/>
    </row>
    <row r="8" spans="1:7" x14ac:dyDescent="0.25">
      <c r="A8" s="30" t="s">
        <v>83</v>
      </c>
      <c r="B8" s="31" t="s">
        <v>59</v>
      </c>
      <c r="C8" s="42" t="s">
        <v>111</v>
      </c>
      <c r="D8" s="42" t="s">
        <v>110</v>
      </c>
      <c r="E8" s="4"/>
      <c r="F8" s="4"/>
      <c r="G8" s="5"/>
    </row>
    <row r="9" spans="1:7" x14ac:dyDescent="0.25">
      <c r="A9" s="12" t="s">
        <v>86</v>
      </c>
      <c r="B9" s="13" t="s">
        <v>92</v>
      </c>
      <c r="C9" s="43"/>
      <c r="D9" s="43"/>
      <c r="E9" s="6"/>
      <c r="F9" s="6"/>
      <c r="G9" s="7"/>
    </row>
    <row r="10" spans="1:7" ht="16.5" thickBot="1" x14ac:dyDescent="0.3">
      <c r="A10" s="12" t="s">
        <v>91</v>
      </c>
      <c r="B10" s="16" t="s">
        <v>9</v>
      </c>
      <c r="C10" s="53"/>
      <c r="D10" s="53"/>
      <c r="E10" s="8"/>
      <c r="F10" s="8"/>
      <c r="G10" s="9"/>
    </row>
    <row r="11" spans="1:7" x14ac:dyDescent="0.25">
      <c r="A11" s="12" t="s">
        <v>88</v>
      </c>
      <c r="B11" s="13">
        <v>75</v>
      </c>
      <c r="C11" s="44"/>
      <c r="D11" s="44"/>
      <c r="E11" s="11"/>
      <c r="F11" s="17"/>
      <c r="G11" s="18"/>
    </row>
    <row r="12" spans="1:7" x14ac:dyDescent="0.25">
      <c r="A12" s="12" t="s">
        <v>89</v>
      </c>
      <c r="B12" s="13">
        <v>50</v>
      </c>
      <c r="C12" s="45"/>
      <c r="D12" s="45"/>
      <c r="E12" s="12"/>
      <c r="F12" s="10"/>
      <c r="G12" s="19"/>
    </row>
    <row r="13" spans="1:7" ht="16.5" thickBot="1" x14ac:dyDescent="0.3">
      <c r="A13" s="14" t="s">
        <v>90</v>
      </c>
      <c r="B13" s="15">
        <v>25</v>
      </c>
      <c r="C13" s="46"/>
      <c r="D13" s="46"/>
      <c r="E13" s="14"/>
      <c r="F13" s="20"/>
      <c r="G13" s="21"/>
    </row>
    <row r="14" spans="1:7" x14ac:dyDescent="0.25">
      <c r="A14" s="30" t="s">
        <v>83</v>
      </c>
      <c r="B14" s="31" t="s">
        <v>59</v>
      </c>
      <c r="C14" s="42" t="s">
        <v>111</v>
      </c>
      <c r="D14" s="42" t="s">
        <v>110</v>
      </c>
      <c r="E14" s="4"/>
      <c r="F14" s="4"/>
      <c r="G14" s="5"/>
    </row>
    <row r="15" spans="1:7" x14ac:dyDescent="0.25">
      <c r="A15" s="12" t="s">
        <v>86</v>
      </c>
      <c r="B15" s="13" t="s">
        <v>92</v>
      </c>
      <c r="C15" s="43"/>
      <c r="D15" s="43"/>
      <c r="E15" s="6"/>
      <c r="F15" s="6"/>
      <c r="G15" s="7"/>
    </row>
    <row r="16" spans="1:7" ht="16.5" thickBot="1" x14ac:dyDescent="0.3">
      <c r="A16" s="12" t="s">
        <v>91</v>
      </c>
      <c r="B16" s="16" t="s">
        <v>12</v>
      </c>
      <c r="C16" s="53"/>
      <c r="D16" s="53"/>
      <c r="E16" s="8"/>
      <c r="F16" s="8"/>
      <c r="G16" s="9"/>
    </row>
    <row r="17" spans="1:7" x14ac:dyDescent="0.25">
      <c r="A17" s="12" t="s">
        <v>88</v>
      </c>
      <c r="B17" s="13">
        <v>75</v>
      </c>
      <c r="C17" s="44"/>
      <c r="D17" s="44"/>
      <c r="E17" s="11"/>
      <c r="F17" s="17"/>
      <c r="G17" s="18"/>
    </row>
    <row r="18" spans="1:7" x14ac:dyDescent="0.25">
      <c r="A18" s="12" t="s">
        <v>89</v>
      </c>
      <c r="B18" s="13">
        <v>50</v>
      </c>
      <c r="C18" s="45"/>
      <c r="D18" s="45"/>
      <c r="E18" s="12"/>
      <c r="F18" s="10"/>
      <c r="G18" s="19"/>
    </row>
    <row r="19" spans="1:7" ht="16.5" thickBot="1" x14ac:dyDescent="0.3">
      <c r="A19" s="14" t="s">
        <v>90</v>
      </c>
      <c r="B19" s="15">
        <v>25</v>
      </c>
      <c r="C19" s="46"/>
      <c r="D19" s="46"/>
      <c r="E19" s="14"/>
      <c r="F19" s="20"/>
      <c r="G19" s="21"/>
    </row>
    <row r="20" spans="1:7" x14ac:dyDescent="0.25">
      <c r="A20" s="30" t="s">
        <v>83</v>
      </c>
      <c r="B20" s="31" t="s">
        <v>59</v>
      </c>
      <c r="C20" s="42" t="s">
        <v>111</v>
      </c>
      <c r="D20" s="42" t="s">
        <v>110</v>
      </c>
      <c r="E20" s="4"/>
      <c r="F20" s="4"/>
      <c r="G20" s="5"/>
    </row>
    <row r="21" spans="1:7" x14ac:dyDescent="0.25">
      <c r="A21" s="12" t="s">
        <v>86</v>
      </c>
      <c r="B21" s="13" t="s">
        <v>92</v>
      </c>
      <c r="C21" s="43"/>
      <c r="D21" s="43"/>
      <c r="E21" s="6"/>
      <c r="F21" s="6"/>
      <c r="G21" s="7"/>
    </row>
    <row r="22" spans="1:7" ht="16.5" thickBot="1" x14ac:dyDescent="0.3">
      <c r="A22" s="12" t="s">
        <v>91</v>
      </c>
      <c r="B22" s="16" t="s">
        <v>13</v>
      </c>
      <c r="C22" s="53"/>
      <c r="D22" s="53"/>
      <c r="E22" s="8"/>
      <c r="F22" s="8"/>
      <c r="G22" s="9"/>
    </row>
    <row r="23" spans="1:7" x14ac:dyDescent="0.25">
      <c r="A23" s="12" t="s">
        <v>88</v>
      </c>
      <c r="B23" s="13">
        <v>75</v>
      </c>
      <c r="C23" s="44"/>
      <c r="D23" s="44"/>
      <c r="E23" s="11"/>
      <c r="F23" s="17"/>
      <c r="G23" s="18"/>
    </row>
    <row r="24" spans="1:7" x14ac:dyDescent="0.25">
      <c r="A24" s="12" t="s">
        <v>89</v>
      </c>
      <c r="B24" s="13">
        <v>50</v>
      </c>
      <c r="C24" s="45"/>
      <c r="D24" s="45"/>
      <c r="E24" s="12"/>
      <c r="F24" s="10"/>
      <c r="G24" s="19"/>
    </row>
    <row r="25" spans="1:7" ht="16.5" thickBot="1" x14ac:dyDescent="0.3">
      <c r="A25" s="14" t="s">
        <v>90</v>
      </c>
      <c r="B25" s="15">
        <v>25</v>
      </c>
      <c r="C25" s="46"/>
      <c r="D25" s="46"/>
      <c r="E25" s="14"/>
      <c r="F25" s="20"/>
      <c r="G25" s="21"/>
    </row>
    <row r="26" spans="1:7" x14ac:dyDescent="0.25">
      <c r="A26" s="30" t="s">
        <v>83</v>
      </c>
      <c r="B26" s="31" t="s">
        <v>59</v>
      </c>
      <c r="C26" s="42" t="s">
        <v>111</v>
      </c>
      <c r="D26" s="42" t="s">
        <v>110</v>
      </c>
      <c r="E26" s="4"/>
      <c r="F26" s="4"/>
      <c r="G26" s="5"/>
    </row>
    <row r="27" spans="1:7" x14ac:dyDescent="0.25">
      <c r="A27" s="12" t="s">
        <v>86</v>
      </c>
      <c r="B27" s="13" t="s">
        <v>92</v>
      </c>
      <c r="C27" s="43"/>
      <c r="D27" s="43"/>
      <c r="E27" s="6"/>
      <c r="F27" s="6"/>
      <c r="G27" s="7"/>
    </row>
    <row r="28" spans="1:7" ht="16.5" thickBot="1" x14ac:dyDescent="0.3">
      <c r="A28" s="12" t="s">
        <v>91</v>
      </c>
      <c r="B28" s="16" t="s">
        <v>15</v>
      </c>
      <c r="C28" s="53"/>
      <c r="D28" s="53"/>
      <c r="E28" s="6"/>
      <c r="F28" s="6"/>
      <c r="G28" s="7"/>
    </row>
    <row r="29" spans="1:7" x14ac:dyDescent="0.25">
      <c r="A29" s="12" t="s">
        <v>88</v>
      </c>
      <c r="B29" s="13">
        <v>75</v>
      </c>
      <c r="C29" s="44"/>
      <c r="D29" s="44"/>
      <c r="E29" s="11"/>
      <c r="F29" s="17"/>
      <c r="G29" s="18"/>
    </row>
    <row r="30" spans="1:7" x14ac:dyDescent="0.25">
      <c r="A30" s="12" t="s">
        <v>89</v>
      </c>
      <c r="B30" s="13">
        <v>50</v>
      </c>
      <c r="C30" s="45"/>
      <c r="D30" s="45"/>
      <c r="E30" s="12"/>
      <c r="F30" s="10"/>
      <c r="G30" s="19"/>
    </row>
    <row r="31" spans="1:7" ht="16.5" thickBot="1" x14ac:dyDescent="0.3">
      <c r="A31" s="14" t="s">
        <v>90</v>
      </c>
      <c r="B31" s="15">
        <v>25</v>
      </c>
      <c r="C31" s="46"/>
      <c r="D31" s="46"/>
      <c r="E31" s="14"/>
      <c r="F31" s="20"/>
      <c r="G31" s="21"/>
    </row>
    <row r="32" spans="1:7" x14ac:dyDescent="0.25">
      <c r="A32" s="30" t="s">
        <v>83</v>
      </c>
      <c r="B32" s="31" t="s">
        <v>59</v>
      </c>
      <c r="C32" s="42" t="s">
        <v>111</v>
      </c>
      <c r="D32" s="42" t="s">
        <v>110</v>
      </c>
      <c r="E32" s="4"/>
      <c r="F32" s="4"/>
      <c r="G32" s="5"/>
    </row>
    <row r="33" spans="1:7" x14ac:dyDescent="0.25">
      <c r="A33" s="12" t="s">
        <v>86</v>
      </c>
      <c r="B33" s="13" t="s">
        <v>92</v>
      </c>
      <c r="C33" s="43"/>
      <c r="D33" s="43"/>
      <c r="E33" s="6"/>
      <c r="F33" s="6"/>
      <c r="G33" s="7"/>
    </row>
    <row r="34" spans="1:7" ht="16.5" thickBot="1" x14ac:dyDescent="0.3">
      <c r="A34" s="12" t="s">
        <v>91</v>
      </c>
      <c r="B34" s="16" t="s">
        <v>16</v>
      </c>
      <c r="C34" s="53"/>
      <c r="D34" s="53"/>
      <c r="E34" s="6"/>
      <c r="F34" s="6"/>
      <c r="G34" s="7"/>
    </row>
    <row r="35" spans="1:7" x14ac:dyDescent="0.25">
      <c r="A35" s="12" t="s">
        <v>88</v>
      </c>
      <c r="B35" s="13">
        <v>75</v>
      </c>
      <c r="C35" s="44"/>
      <c r="D35" s="44"/>
      <c r="E35" s="11"/>
      <c r="F35" s="17"/>
      <c r="G35" s="18"/>
    </row>
    <row r="36" spans="1:7" x14ac:dyDescent="0.25">
      <c r="A36" s="12" t="s">
        <v>89</v>
      </c>
      <c r="B36" s="13">
        <v>50</v>
      </c>
      <c r="C36" s="45"/>
      <c r="D36" s="45"/>
      <c r="E36" s="12"/>
      <c r="F36" s="10"/>
      <c r="G36" s="19"/>
    </row>
    <row r="37" spans="1:7" ht="16.5" thickBot="1" x14ac:dyDescent="0.3">
      <c r="A37" s="14" t="s">
        <v>90</v>
      </c>
      <c r="B37" s="15">
        <v>25</v>
      </c>
      <c r="C37" s="46"/>
      <c r="D37" s="46"/>
      <c r="E37" s="14"/>
      <c r="F37" s="20"/>
      <c r="G37" s="2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3"/>
  <sheetViews>
    <sheetView workbookViewId="0">
      <selection activeCell="C2" sqref="C2:D2"/>
    </sheetView>
  </sheetViews>
  <sheetFormatPr defaultColWidth="8.875" defaultRowHeight="15.75" x14ac:dyDescent="0.25"/>
  <cols>
    <col min="1" max="2" width="30.875" customWidth="1"/>
    <col min="3" max="3" width="9" bestFit="1" customWidth="1"/>
    <col min="4" max="4" width="12.5" bestFit="1" customWidth="1"/>
    <col min="5" max="7" width="30.875" customWidth="1"/>
  </cols>
  <sheetData>
    <row r="1" spans="1:7" ht="21.75" thickBot="1" x14ac:dyDescent="0.4">
      <c r="A1" s="32" t="s">
        <v>85</v>
      </c>
      <c r="B1" s="33" t="s">
        <v>58</v>
      </c>
      <c r="C1" s="41"/>
      <c r="D1" s="41"/>
      <c r="E1" s="34" t="s">
        <v>97</v>
      </c>
      <c r="F1" s="35" t="s">
        <v>98</v>
      </c>
      <c r="G1" s="36" t="s">
        <v>99</v>
      </c>
    </row>
    <row r="2" spans="1:7" x14ac:dyDescent="0.25">
      <c r="A2" s="37" t="s">
        <v>83</v>
      </c>
      <c r="B2" s="38" t="s">
        <v>54</v>
      </c>
      <c r="C2" s="42" t="s">
        <v>111</v>
      </c>
      <c r="D2" s="42" t="s">
        <v>110</v>
      </c>
      <c r="E2" s="4"/>
      <c r="F2" s="4"/>
      <c r="G2" s="5"/>
    </row>
    <row r="3" spans="1:7" x14ac:dyDescent="0.25">
      <c r="A3" s="12" t="s">
        <v>86</v>
      </c>
      <c r="B3" s="13" t="s">
        <v>92</v>
      </c>
      <c r="C3" s="43"/>
      <c r="D3" s="43"/>
      <c r="E3" s="6"/>
      <c r="F3" s="6"/>
      <c r="G3" s="7"/>
    </row>
    <row r="4" spans="1:7" ht="16.5" thickBot="1" x14ac:dyDescent="0.3">
      <c r="A4" s="12" t="s">
        <v>91</v>
      </c>
      <c r="B4" s="13" t="s">
        <v>93</v>
      </c>
      <c r="C4" s="43"/>
      <c r="D4" s="43"/>
      <c r="E4" s="8"/>
      <c r="F4" s="8"/>
      <c r="G4" s="9"/>
    </row>
    <row r="5" spans="1:7" x14ac:dyDescent="0.25">
      <c r="A5" s="12" t="s">
        <v>88</v>
      </c>
      <c r="B5" s="13">
        <v>75</v>
      </c>
      <c r="C5" s="44"/>
      <c r="D5" s="44"/>
      <c r="E5" s="11"/>
      <c r="F5" s="17"/>
      <c r="G5" s="18"/>
    </row>
    <row r="6" spans="1:7" x14ac:dyDescent="0.25">
      <c r="A6" s="12" t="s">
        <v>89</v>
      </c>
      <c r="B6" s="13">
        <v>20</v>
      </c>
      <c r="C6" s="45"/>
      <c r="D6" s="45"/>
      <c r="E6" s="12"/>
      <c r="F6" s="10"/>
      <c r="G6" s="19"/>
    </row>
    <row r="7" spans="1:7" ht="16.5" thickBot="1" x14ac:dyDescent="0.3">
      <c r="A7" s="14" t="s">
        <v>90</v>
      </c>
      <c r="B7" s="15">
        <v>55</v>
      </c>
      <c r="C7" s="46"/>
      <c r="D7" s="46"/>
      <c r="E7" s="14"/>
      <c r="F7" s="20"/>
      <c r="G7" s="21"/>
    </row>
    <row r="8" spans="1:7" x14ac:dyDescent="0.25">
      <c r="A8" s="30" t="s">
        <v>83</v>
      </c>
      <c r="B8" s="31" t="s">
        <v>54</v>
      </c>
      <c r="C8" s="42" t="s">
        <v>111</v>
      </c>
      <c r="D8" s="42" t="s">
        <v>110</v>
      </c>
      <c r="E8" s="4"/>
      <c r="F8" s="4"/>
      <c r="G8" s="5"/>
    </row>
    <row r="9" spans="1:7" x14ac:dyDescent="0.25">
      <c r="A9" s="12" t="s">
        <v>86</v>
      </c>
      <c r="B9" s="13" t="s">
        <v>92</v>
      </c>
      <c r="C9" s="43"/>
      <c r="D9" s="43"/>
      <c r="E9" s="6"/>
      <c r="F9" s="6"/>
      <c r="G9" s="7"/>
    </row>
    <row r="10" spans="1:7" ht="16.5" thickBot="1" x14ac:dyDescent="0.3">
      <c r="A10" s="12" t="s">
        <v>91</v>
      </c>
      <c r="B10" s="16" t="s">
        <v>24</v>
      </c>
      <c r="C10" s="53"/>
      <c r="D10" s="53"/>
      <c r="E10" s="8"/>
      <c r="F10" s="8"/>
      <c r="G10" s="9"/>
    </row>
    <row r="11" spans="1:7" x14ac:dyDescent="0.25">
      <c r="A11" s="12" t="s">
        <v>88</v>
      </c>
      <c r="B11" s="13">
        <v>75</v>
      </c>
      <c r="C11" s="44"/>
      <c r="D11" s="44"/>
      <c r="E11" s="11"/>
      <c r="F11" s="17"/>
      <c r="G11" s="18"/>
    </row>
    <row r="12" spans="1:7" x14ac:dyDescent="0.25">
      <c r="A12" s="12" t="s">
        <v>89</v>
      </c>
      <c r="B12" s="13">
        <v>20</v>
      </c>
      <c r="C12" s="45"/>
      <c r="D12" s="45"/>
      <c r="E12" s="12"/>
      <c r="F12" s="10"/>
      <c r="G12" s="19"/>
    </row>
    <row r="13" spans="1:7" ht="16.5" thickBot="1" x14ac:dyDescent="0.3">
      <c r="A13" s="14" t="s">
        <v>90</v>
      </c>
      <c r="B13" s="15">
        <v>55</v>
      </c>
      <c r="C13" s="46"/>
      <c r="D13" s="46"/>
      <c r="E13" s="14"/>
      <c r="F13" s="20"/>
      <c r="G13" s="21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3"/>
  <sheetViews>
    <sheetView workbookViewId="0">
      <selection activeCell="C2" sqref="C2:D2"/>
    </sheetView>
  </sheetViews>
  <sheetFormatPr defaultColWidth="8.875" defaultRowHeight="15.75" x14ac:dyDescent="0.25"/>
  <cols>
    <col min="1" max="2" width="30.875" customWidth="1"/>
    <col min="3" max="3" width="9" bestFit="1" customWidth="1"/>
    <col min="4" max="4" width="12.5" bestFit="1" customWidth="1"/>
    <col min="5" max="7" width="30.875" customWidth="1"/>
  </cols>
  <sheetData>
    <row r="1" spans="1:7" ht="21.75" thickBot="1" x14ac:dyDescent="0.4">
      <c r="A1" s="32" t="s">
        <v>85</v>
      </c>
      <c r="B1" s="33" t="s">
        <v>66</v>
      </c>
      <c r="C1" s="41"/>
      <c r="D1" s="41"/>
      <c r="E1" s="34" t="s">
        <v>97</v>
      </c>
      <c r="F1" s="35" t="s">
        <v>98</v>
      </c>
      <c r="G1" s="36" t="s">
        <v>99</v>
      </c>
    </row>
    <row r="2" spans="1:7" x14ac:dyDescent="0.25">
      <c r="A2" s="37" t="s">
        <v>83</v>
      </c>
      <c r="B2" s="38" t="s">
        <v>100</v>
      </c>
      <c r="C2" s="42" t="s">
        <v>111</v>
      </c>
      <c r="D2" s="42" t="s">
        <v>110</v>
      </c>
      <c r="E2" s="4"/>
      <c r="F2" s="4"/>
      <c r="G2" s="5"/>
    </row>
    <row r="3" spans="1:7" x14ac:dyDescent="0.25">
      <c r="A3" s="12" t="s">
        <v>86</v>
      </c>
      <c r="B3" s="13" t="s">
        <v>101</v>
      </c>
      <c r="C3" s="43"/>
      <c r="D3" s="43"/>
      <c r="E3" s="6"/>
      <c r="F3" s="6"/>
      <c r="G3" s="7"/>
    </row>
    <row r="4" spans="1:7" ht="16.5" thickBot="1" x14ac:dyDescent="0.3">
      <c r="A4" s="12" t="s">
        <v>91</v>
      </c>
      <c r="B4" s="13" t="s">
        <v>19</v>
      </c>
      <c r="C4" s="43"/>
      <c r="D4" s="43"/>
      <c r="E4" s="8"/>
      <c r="F4" s="8"/>
      <c r="G4" s="9"/>
    </row>
    <row r="5" spans="1:7" x14ac:dyDescent="0.25">
      <c r="A5" s="12" t="s">
        <v>88</v>
      </c>
      <c r="B5" s="13">
        <v>75</v>
      </c>
      <c r="C5" s="44"/>
      <c r="D5" s="44"/>
      <c r="E5" s="11"/>
      <c r="F5" s="17"/>
      <c r="G5" s="18"/>
    </row>
    <row r="6" spans="1:7" x14ac:dyDescent="0.25">
      <c r="A6" s="12" t="s">
        <v>89</v>
      </c>
      <c r="B6" s="13">
        <v>20</v>
      </c>
      <c r="C6" s="45"/>
      <c r="D6" s="45"/>
      <c r="E6" s="12"/>
      <c r="F6" s="10"/>
      <c r="G6" s="19"/>
    </row>
    <row r="7" spans="1:7" ht="16.5" thickBot="1" x14ac:dyDescent="0.3">
      <c r="A7" s="14" t="s">
        <v>90</v>
      </c>
      <c r="B7" s="15">
        <v>55</v>
      </c>
      <c r="C7" s="46"/>
      <c r="D7" s="46"/>
      <c r="E7" s="14"/>
      <c r="F7" s="20"/>
      <c r="G7" s="21"/>
    </row>
    <row r="8" spans="1:7" x14ac:dyDescent="0.25">
      <c r="A8" s="37" t="s">
        <v>83</v>
      </c>
      <c r="B8" s="38" t="s">
        <v>100</v>
      </c>
      <c r="C8" s="42" t="s">
        <v>111</v>
      </c>
      <c r="D8" s="42" t="s">
        <v>110</v>
      </c>
      <c r="E8" s="4"/>
      <c r="F8" s="4"/>
      <c r="G8" s="5"/>
    </row>
    <row r="9" spans="1:7" x14ac:dyDescent="0.25">
      <c r="A9" s="12" t="s">
        <v>86</v>
      </c>
      <c r="B9" s="13" t="s">
        <v>101</v>
      </c>
      <c r="C9" s="43"/>
      <c r="D9" s="43"/>
      <c r="E9" s="6"/>
      <c r="F9" s="6"/>
      <c r="G9" s="7"/>
    </row>
    <row r="10" spans="1:7" ht="16.5" thickBot="1" x14ac:dyDescent="0.3">
      <c r="A10" s="12" t="s">
        <v>91</v>
      </c>
      <c r="B10" s="16" t="s">
        <v>20</v>
      </c>
      <c r="C10" s="53"/>
      <c r="D10" s="53"/>
      <c r="E10" s="8"/>
      <c r="F10" s="8"/>
      <c r="G10" s="9"/>
    </row>
    <row r="11" spans="1:7" x14ac:dyDescent="0.25">
      <c r="A11" s="12" t="s">
        <v>88</v>
      </c>
      <c r="B11" s="13">
        <v>75</v>
      </c>
      <c r="C11" s="44"/>
      <c r="D11" s="44"/>
      <c r="E11" s="11"/>
      <c r="F11" s="17"/>
      <c r="G11" s="18"/>
    </row>
    <row r="12" spans="1:7" x14ac:dyDescent="0.25">
      <c r="A12" s="12" t="s">
        <v>89</v>
      </c>
      <c r="B12" s="13">
        <v>20</v>
      </c>
      <c r="C12" s="45"/>
      <c r="D12" s="45"/>
      <c r="E12" s="12"/>
      <c r="F12" s="10"/>
      <c r="G12" s="19"/>
    </row>
    <row r="13" spans="1:7" ht="16.5" thickBot="1" x14ac:dyDescent="0.3">
      <c r="A13" s="14" t="s">
        <v>90</v>
      </c>
      <c r="B13" s="15">
        <v>55</v>
      </c>
      <c r="C13" s="46"/>
      <c r="D13" s="46"/>
      <c r="E13" s="14"/>
      <c r="F13" s="20"/>
      <c r="G13" s="21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7"/>
  <sheetViews>
    <sheetView workbookViewId="0">
      <selection activeCell="C2" sqref="C2:D2"/>
    </sheetView>
  </sheetViews>
  <sheetFormatPr defaultColWidth="8.875" defaultRowHeight="15.75" x14ac:dyDescent="0.25"/>
  <cols>
    <col min="1" max="2" width="30.875" customWidth="1"/>
    <col min="3" max="3" width="9" bestFit="1" customWidth="1"/>
    <col min="4" max="4" width="12.5" bestFit="1" customWidth="1"/>
    <col min="5" max="7" width="30.875" customWidth="1"/>
  </cols>
  <sheetData>
    <row r="1" spans="1:7" ht="21.75" thickBot="1" x14ac:dyDescent="0.4">
      <c r="A1" s="32" t="s">
        <v>85</v>
      </c>
      <c r="B1" s="33" t="s">
        <v>70</v>
      </c>
      <c r="C1" s="41"/>
      <c r="D1" s="41"/>
      <c r="E1" s="34" t="s">
        <v>97</v>
      </c>
      <c r="F1" s="35" t="s">
        <v>98</v>
      </c>
      <c r="G1" s="36" t="s">
        <v>99</v>
      </c>
    </row>
    <row r="2" spans="1:7" x14ac:dyDescent="0.25">
      <c r="A2" s="37" t="s">
        <v>83</v>
      </c>
      <c r="B2" s="38" t="s">
        <v>46</v>
      </c>
      <c r="C2" s="42" t="s">
        <v>111</v>
      </c>
      <c r="D2" s="42" t="s">
        <v>110</v>
      </c>
      <c r="E2" s="4"/>
      <c r="F2" s="4"/>
      <c r="G2" s="5"/>
    </row>
    <row r="3" spans="1:7" x14ac:dyDescent="0.25">
      <c r="A3" s="12" t="s">
        <v>86</v>
      </c>
      <c r="B3" s="13"/>
      <c r="C3" s="43"/>
      <c r="D3" s="43"/>
      <c r="E3" s="6"/>
      <c r="F3" s="6"/>
      <c r="G3" s="7"/>
    </row>
    <row r="4" spans="1:7" ht="16.5" thickBot="1" x14ac:dyDescent="0.3">
      <c r="A4" s="12" t="s">
        <v>91</v>
      </c>
      <c r="B4" s="13" t="s">
        <v>9</v>
      </c>
      <c r="C4" s="43"/>
      <c r="D4" s="43"/>
      <c r="E4" s="8"/>
      <c r="F4" s="8"/>
      <c r="G4" s="9"/>
    </row>
    <row r="5" spans="1:7" x14ac:dyDescent="0.25">
      <c r="A5" s="12" t="s">
        <v>88</v>
      </c>
      <c r="B5" s="13">
        <v>75</v>
      </c>
      <c r="C5" s="44"/>
      <c r="D5" s="44"/>
      <c r="E5" s="11"/>
      <c r="F5" s="17"/>
      <c r="G5" s="18"/>
    </row>
    <row r="6" spans="1:7" x14ac:dyDescent="0.25">
      <c r="A6" s="12" t="s">
        <v>89</v>
      </c>
      <c r="B6" s="13">
        <v>20</v>
      </c>
      <c r="C6" s="45"/>
      <c r="D6" s="45"/>
      <c r="E6" s="12"/>
      <c r="F6" s="10"/>
      <c r="G6" s="19"/>
    </row>
    <row r="7" spans="1:7" ht="16.5" thickBot="1" x14ac:dyDescent="0.3">
      <c r="A7" s="14" t="s">
        <v>90</v>
      </c>
      <c r="B7" s="15">
        <v>55</v>
      </c>
      <c r="C7" s="46"/>
      <c r="D7" s="46"/>
      <c r="E7" s="14"/>
      <c r="F7" s="20"/>
      <c r="G7" s="21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3"/>
  <sheetViews>
    <sheetView workbookViewId="0">
      <selection activeCell="C8" sqref="C8:D8"/>
    </sheetView>
  </sheetViews>
  <sheetFormatPr defaultColWidth="8.875" defaultRowHeight="15.75" x14ac:dyDescent="0.25"/>
  <cols>
    <col min="1" max="2" width="30.875" customWidth="1"/>
    <col min="3" max="3" width="9" bestFit="1" customWidth="1"/>
    <col min="4" max="4" width="12.5" bestFit="1" customWidth="1"/>
    <col min="5" max="7" width="30.875" customWidth="1"/>
  </cols>
  <sheetData>
    <row r="1" spans="1:7" ht="21.75" thickBot="1" x14ac:dyDescent="0.4">
      <c r="A1" s="32" t="s">
        <v>85</v>
      </c>
      <c r="B1" s="33" t="s">
        <v>73</v>
      </c>
      <c r="C1" s="41"/>
      <c r="D1" s="41"/>
      <c r="E1" s="34" t="s">
        <v>97</v>
      </c>
      <c r="F1" s="35" t="s">
        <v>98</v>
      </c>
      <c r="G1" s="36" t="s">
        <v>99</v>
      </c>
    </row>
    <row r="2" spans="1:7" x14ac:dyDescent="0.25">
      <c r="A2" s="37" t="s">
        <v>83</v>
      </c>
      <c r="B2" s="38" t="s">
        <v>55</v>
      </c>
      <c r="C2" s="42" t="s">
        <v>111</v>
      </c>
      <c r="D2" s="42" t="s">
        <v>110</v>
      </c>
      <c r="E2" s="4"/>
      <c r="F2" s="4"/>
      <c r="G2" s="5"/>
    </row>
    <row r="3" spans="1:7" x14ac:dyDescent="0.25">
      <c r="A3" s="12" t="s">
        <v>86</v>
      </c>
      <c r="B3" s="13"/>
      <c r="C3" s="43"/>
      <c r="D3" s="43"/>
      <c r="E3" s="6"/>
      <c r="F3" s="6"/>
      <c r="G3" s="7"/>
    </row>
    <row r="4" spans="1:7" ht="16.5" thickBot="1" x14ac:dyDescent="0.3">
      <c r="A4" s="12" t="s">
        <v>91</v>
      </c>
      <c r="B4" s="13" t="s">
        <v>24</v>
      </c>
      <c r="C4" s="43"/>
      <c r="D4" s="43"/>
      <c r="E4" s="8"/>
      <c r="F4" s="8"/>
      <c r="G4" s="9"/>
    </row>
    <row r="5" spans="1:7" x14ac:dyDescent="0.25">
      <c r="A5" s="12" t="s">
        <v>88</v>
      </c>
      <c r="B5" s="13">
        <v>75</v>
      </c>
      <c r="C5" s="44"/>
      <c r="D5" s="44"/>
      <c r="E5" s="11"/>
      <c r="F5" s="17"/>
      <c r="G5" s="18"/>
    </row>
    <row r="6" spans="1:7" x14ac:dyDescent="0.25">
      <c r="A6" s="12" t="s">
        <v>89</v>
      </c>
      <c r="B6" s="13">
        <v>20</v>
      </c>
      <c r="C6" s="45"/>
      <c r="D6" s="45"/>
      <c r="E6" s="12"/>
      <c r="F6" s="10"/>
      <c r="G6" s="19"/>
    </row>
    <row r="7" spans="1:7" ht="16.5" thickBot="1" x14ac:dyDescent="0.3">
      <c r="A7" s="14" t="s">
        <v>90</v>
      </c>
      <c r="B7" s="15">
        <v>55</v>
      </c>
      <c r="C7" s="46"/>
      <c r="D7" s="46"/>
      <c r="E7" s="14"/>
      <c r="F7" s="20"/>
      <c r="G7" s="21"/>
    </row>
    <row r="8" spans="1:7" x14ac:dyDescent="0.25">
      <c r="A8" s="37" t="s">
        <v>83</v>
      </c>
      <c r="B8" s="38" t="s">
        <v>55</v>
      </c>
      <c r="C8" s="42" t="s">
        <v>111</v>
      </c>
      <c r="D8" s="42" t="s">
        <v>110</v>
      </c>
      <c r="E8" s="4"/>
      <c r="F8" s="4"/>
      <c r="G8" s="5"/>
    </row>
    <row r="9" spans="1:7" x14ac:dyDescent="0.25">
      <c r="A9" s="12" t="s">
        <v>86</v>
      </c>
      <c r="B9" s="13"/>
      <c r="C9" s="43"/>
      <c r="D9" s="43"/>
      <c r="E9" s="6"/>
      <c r="F9" s="6"/>
      <c r="G9" s="7"/>
    </row>
    <row r="10" spans="1:7" ht="16.5" thickBot="1" x14ac:dyDescent="0.3">
      <c r="A10" s="12" t="s">
        <v>91</v>
      </c>
      <c r="B10" s="13" t="s">
        <v>25</v>
      </c>
      <c r="C10" s="43"/>
      <c r="D10" s="43"/>
      <c r="E10" s="8"/>
      <c r="F10" s="8"/>
      <c r="G10" s="9"/>
    </row>
    <row r="11" spans="1:7" x14ac:dyDescent="0.25">
      <c r="A11" s="12" t="s">
        <v>88</v>
      </c>
      <c r="B11" s="13">
        <v>75</v>
      </c>
      <c r="C11" s="44"/>
      <c r="D11" s="44"/>
      <c r="E11" s="11"/>
      <c r="F11" s="17"/>
      <c r="G11" s="18"/>
    </row>
    <row r="12" spans="1:7" x14ac:dyDescent="0.25">
      <c r="A12" s="12" t="s">
        <v>89</v>
      </c>
      <c r="B12" s="13">
        <v>20</v>
      </c>
      <c r="C12" s="45"/>
      <c r="D12" s="45"/>
      <c r="E12" s="12"/>
      <c r="F12" s="10"/>
      <c r="G12" s="19"/>
    </row>
    <row r="13" spans="1:7" ht="16.5" thickBot="1" x14ac:dyDescent="0.3">
      <c r="A13" s="14" t="s">
        <v>90</v>
      </c>
      <c r="B13" s="15">
        <v>55</v>
      </c>
      <c r="C13" s="46"/>
      <c r="D13" s="46"/>
      <c r="E13" s="14"/>
      <c r="F13" s="20"/>
      <c r="G13" s="21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07"/>
  <sheetViews>
    <sheetView topLeftCell="A142" workbookViewId="0">
      <selection activeCell="A155" sqref="A155"/>
    </sheetView>
  </sheetViews>
  <sheetFormatPr defaultColWidth="8.875" defaultRowHeight="15.75" x14ac:dyDescent="0.25"/>
  <cols>
    <col min="1" max="2" width="30.875" customWidth="1"/>
    <col min="3" max="3" width="9" bestFit="1" customWidth="1"/>
    <col min="4" max="4" width="12.5" bestFit="1" customWidth="1"/>
    <col min="5" max="7" width="30.875" customWidth="1"/>
  </cols>
  <sheetData>
    <row r="1" spans="1:7" ht="21.75" thickBot="1" x14ac:dyDescent="0.4">
      <c r="A1" s="32" t="s">
        <v>85</v>
      </c>
      <c r="B1" s="33" t="s">
        <v>102</v>
      </c>
      <c r="C1" s="41"/>
      <c r="D1" s="41"/>
      <c r="E1" s="34" t="s">
        <v>97</v>
      </c>
      <c r="F1" s="35" t="s">
        <v>98</v>
      </c>
      <c r="G1" s="36" t="s">
        <v>99</v>
      </c>
    </row>
    <row r="2" spans="1:7" x14ac:dyDescent="0.25">
      <c r="A2" s="37" t="s">
        <v>83</v>
      </c>
      <c r="B2" s="38" t="s">
        <v>72</v>
      </c>
      <c r="C2" s="42" t="s">
        <v>111</v>
      </c>
      <c r="D2" s="42" t="s">
        <v>110</v>
      </c>
      <c r="E2" s="4"/>
      <c r="F2" s="4"/>
      <c r="G2" s="5"/>
    </row>
    <row r="3" spans="1:7" x14ac:dyDescent="0.25">
      <c r="A3" s="12" t="s">
        <v>86</v>
      </c>
      <c r="B3" s="13"/>
      <c r="C3" s="43"/>
      <c r="D3" s="43"/>
      <c r="E3" s="6"/>
      <c r="F3" s="6"/>
      <c r="G3" s="7"/>
    </row>
    <row r="4" spans="1:7" ht="16.5" thickBot="1" x14ac:dyDescent="0.3">
      <c r="A4" s="12" t="s">
        <v>91</v>
      </c>
      <c r="B4" s="13" t="s">
        <v>22</v>
      </c>
      <c r="C4" s="43"/>
      <c r="D4" s="43"/>
      <c r="E4" s="8"/>
      <c r="F4" s="8"/>
      <c r="G4" s="9"/>
    </row>
    <row r="5" spans="1:7" x14ac:dyDescent="0.25">
      <c r="A5" s="12" t="s">
        <v>88</v>
      </c>
      <c r="B5" s="13">
        <v>75</v>
      </c>
      <c r="C5" s="44"/>
      <c r="D5" s="44"/>
      <c r="E5" s="11"/>
      <c r="F5" s="17"/>
      <c r="G5" s="18"/>
    </row>
    <row r="6" spans="1:7" x14ac:dyDescent="0.25">
      <c r="A6" s="12" t="s">
        <v>89</v>
      </c>
      <c r="B6" s="13">
        <v>20</v>
      </c>
      <c r="C6" s="45"/>
      <c r="D6" s="45"/>
      <c r="E6" s="12"/>
      <c r="F6" s="10"/>
      <c r="G6" s="19"/>
    </row>
    <row r="7" spans="1:7" ht="16.5" thickBot="1" x14ac:dyDescent="0.3">
      <c r="A7" s="14" t="s">
        <v>90</v>
      </c>
      <c r="B7" s="15">
        <v>55</v>
      </c>
      <c r="C7" s="46"/>
      <c r="D7" s="46"/>
      <c r="E7" s="14"/>
      <c r="F7" s="20"/>
      <c r="G7" s="21"/>
    </row>
    <row r="8" spans="1:7" x14ac:dyDescent="0.25">
      <c r="A8" s="37" t="s">
        <v>83</v>
      </c>
      <c r="B8" s="38" t="s">
        <v>72</v>
      </c>
      <c r="C8" s="42" t="s">
        <v>111</v>
      </c>
      <c r="D8" s="42" t="s">
        <v>110</v>
      </c>
      <c r="E8" s="4"/>
      <c r="F8" s="4"/>
      <c r="G8" s="5"/>
    </row>
    <row r="9" spans="1:7" x14ac:dyDescent="0.25">
      <c r="A9" s="12" t="s">
        <v>86</v>
      </c>
      <c r="B9" s="13"/>
      <c r="C9" s="43"/>
      <c r="D9" s="43"/>
      <c r="E9" s="6"/>
      <c r="F9" s="6"/>
      <c r="G9" s="7"/>
    </row>
    <row r="10" spans="1:7" ht="16.5" thickBot="1" x14ac:dyDescent="0.3">
      <c r="A10" s="12" t="s">
        <v>91</v>
      </c>
      <c r="B10" s="13" t="s">
        <v>24</v>
      </c>
      <c r="C10" s="43"/>
      <c r="D10" s="43"/>
      <c r="E10" s="8"/>
      <c r="F10" s="8"/>
      <c r="G10" s="9"/>
    </row>
    <row r="11" spans="1:7" x14ac:dyDescent="0.25">
      <c r="A11" s="12" t="s">
        <v>88</v>
      </c>
      <c r="B11" s="13">
        <v>75</v>
      </c>
      <c r="C11" s="44"/>
      <c r="D11" s="44"/>
      <c r="E11" s="11"/>
      <c r="F11" s="17"/>
      <c r="G11" s="18"/>
    </row>
    <row r="12" spans="1:7" x14ac:dyDescent="0.25">
      <c r="A12" s="12" t="s">
        <v>89</v>
      </c>
      <c r="B12" s="13">
        <v>20</v>
      </c>
      <c r="C12" s="45"/>
      <c r="D12" s="45"/>
      <c r="E12" s="12"/>
      <c r="F12" s="10"/>
      <c r="G12" s="19"/>
    </row>
    <row r="13" spans="1:7" ht="16.5" thickBot="1" x14ac:dyDescent="0.3">
      <c r="A13" s="14" t="s">
        <v>90</v>
      </c>
      <c r="B13" s="15">
        <v>55</v>
      </c>
      <c r="C13" s="46"/>
      <c r="D13" s="46"/>
      <c r="E13" s="14"/>
      <c r="F13" s="20"/>
      <c r="G13" s="21"/>
    </row>
    <row r="14" spans="1:7" x14ac:dyDescent="0.25">
      <c r="A14" s="37" t="s">
        <v>83</v>
      </c>
      <c r="B14" s="38" t="s">
        <v>72</v>
      </c>
      <c r="C14" s="42" t="s">
        <v>111</v>
      </c>
      <c r="D14" s="42" t="s">
        <v>110</v>
      </c>
      <c r="E14" s="4"/>
      <c r="F14" s="4"/>
      <c r="G14" s="5"/>
    </row>
    <row r="15" spans="1:7" x14ac:dyDescent="0.25">
      <c r="A15" s="12" t="s">
        <v>86</v>
      </c>
      <c r="B15" s="13"/>
      <c r="C15" s="43"/>
      <c r="D15" s="43"/>
      <c r="E15" s="6"/>
      <c r="F15" s="6"/>
      <c r="G15" s="7"/>
    </row>
    <row r="16" spans="1:7" ht="16.5" thickBot="1" x14ac:dyDescent="0.3">
      <c r="A16" s="12" t="s">
        <v>91</v>
      </c>
      <c r="B16" s="13" t="s">
        <v>25</v>
      </c>
      <c r="C16" s="43"/>
      <c r="D16" s="43"/>
      <c r="E16" s="8"/>
      <c r="F16" s="8"/>
      <c r="G16" s="9"/>
    </row>
    <row r="17" spans="1:7" x14ac:dyDescent="0.25">
      <c r="A17" s="12" t="s">
        <v>88</v>
      </c>
      <c r="B17" s="13">
        <v>75</v>
      </c>
      <c r="C17" s="44"/>
      <c r="D17" s="44"/>
      <c r="E17" s="11"/>
      <c r="F17" s="17"/>
      <c r="G17" s="18"/>
    </row>
    <row r="18" spans="1:7" x14ac:dyDescent="0.25">
      <c r="A18" s="12" t="s">
        <v>89</v>
      </c>
      <c r="B18" s="13">
        <v>20</v>
      </c>
      <c r="C18" s="45"/>
      <c r="D18" s="45"/>
      <c r="E18" s="12"/>
      <c r="F18" s="10"/>
      <c r="G18" s="19"/>
    </row>
    <row r="19" spans="1:7" ht="16.5" thickBot="1" x14ac:dyDescent="0.3">
      <c r="A19" s="14" t="s">
        <v>90</v>
      </c>
      <c r="B19" s="15">
        <v>55</v>
      </c>
      <c r="C19" s="46"/>
      <c r="D19" s="46"/>
      <c r="E19" s="14"/>
      <c r="F19" s="20"/>
      <c r="G19" s="21"/>
    </row>
    <row r="20" spans="1:7" x14ac:dyDescent="0.25">
      <c r="A20" s="37" t="s">
        <v>83</v>
      </c>
      <c r="B20" s="38" t="s">
        <v>63</v>
      </c>
      <c r="C20" s="42" t="s">
        <v>111</v>
      </c>
      <c r="D20" s="42" t="s">
        <v>110</v>
      </c>
      <c r="E20" s="4"/>
      <c r="F20" s="4"/>
      <c r="G20" s="5"/>
    </row>
    <row r="21" spans="1:7" x14ac:dyDescent="0.25">
      <c r="A21" s="12" t="s">
        <v>86</v>
      </c>
      <c r="B21" s="13" t="s">
        <v>80</v>
      </c>
      <c r="C21" s="43"/>
      <c r="D21" s="43"/>
      <c r="E21" s="6"/>
      <c r="F21" s="6"/>
      <c r="G21" s="7"/>
    </row>
    <row r="22" spans="1:7" ht="16.5" thickBot="1" x14ac:dyDescent="0.3">
      <c r="A22" s="12" t="s">
        <v>91</v>
      </c>
      <c r="B22" s="13" t="s">
        <v>9</v>
      </c>
      <c r="C22" s="43"/>
      <c r="D22" s="43"/>
      <c r="E22" s="8"/>
      <c r="F22" s="8"/>
      <c r="G22" s="9"/>
    </row>
    <row r="23" spans="1:7" x14ac:dyDescent="0.25">
      <c r="A23" s="12" t="s">
        <v>88</v>
      </c>
      <c r="B23" s="13">
        <v>75</v>
      </c>
      <c r="C23" s="44"/>
      <c r="D23" s="44"/>
      <c r="E23" s="11"/>
      <c r="F23" s="17"/>
      <c r="G23" s="18"/>
    </row>
    <row r="24" spans="1:7" x14ac:dyDescent="0.25">
      <c r="A24" s="12" t="s">
        <v>89</v>
      </c>
      <c r="B24" s="13">
        <v>20</v>
      </c>
      <c r="C24" s="45"/>
      <c r="D24" s="45"/>
      <c r="E24" s="12"/>
      <c r="F24" s="10"/>
      <c r="G24" s="19"/>
    </row>
    <row r="25" spans="1:7" ht="16.5" thickBot="1" x14ac:dyDescent="0.3">
      <c r="A25" s="14" t="s">
        <v>90</v>
      </c>
      <c r="B25" s="15">
        <v>55</v>
      </c>
      <c r="C25" s="46"/>
      <c r="D25" s="46"/>
      <c r="E25" s="14"/>
      <c r="F25" s="20"/>
      <c r="G25" s="21"/>
    </row>
    <row r="26" spans="1:7" x14ac:dyDescent="0.25">
      <c r="A26" s="37" t="s">
        <v>83</v>
      </c>
      <c r="B26" s="38" t="s">
        <v>57</v>
      </c>
      <c r="C26" s="42" t="s">
        <v>111</v>
      </c>
      <c r="D26" s="42" t="s">
        <v>110</v>
      </c>
      <c r="E26" s="4"/>
      <c r="F26" s="4"/>
      <c r="G26" s="5"/>
    </row>
    <row r="27" spans="1:7" x14ac:dyDescent="0.25">
      <c r="A27" s="12" t="s">
        <v>86</v>
      </c>
      <c r="B27" s="13" t="s">
        <v>105</v>
      </c>
      <c r="C27" s="43"/>
      <c r="D27" s="43"/>
      <c r="E27" s="6"/>
      <c r="F27" s="6"/>
      <c r="G27" s="7"/>
    </row>
    <row r="28" spans="1:7" ht="16.5" thickBot="1" x14ac:dyDescent="0.3">
      <c r="A28" s="12" t="s">
        <v>91</v>
      </c>
      <c r="B28" s="13" t="s">
        <v>11</v>
      </c>
      <c r="C28" s="43"/>
      <c r="D28" s="43"/>
      <c r="E28" s="8"/>
      <c r="F28" s="8"/>
      <c r="G28" s="9"/>
    </row>
    <row r="29" spans="1:7" x14ac:dyDescent="0.25">
      <c r="A29" s="12" t="s">
        <v>88</v>
      </c>
      <c r="B29" s="13">
        <v>75</v>
      </c>
      <c r="C29" s="44"/>
      <c r="D29" s="44"/>
      <c r="E29" s="11"/>
      <c r="F29" s="17"/>
      <c r="G29" s="18"/>
    </row>
    <row r="30" spans="1:7" x14ac:dyDescent="0.25">
      <c r="A30" s="12" t="s">
        <v>89</v>
      </c>
      <c r="B30" s="13">
        <v>20</v>
      </c>
      <c r="C30" s="45"/>
      <c r="D30" s="45"/>
      <c r="E30" s="12"/>
      <c r="F30" s="10"/>
      <c r="G30" s="19"/>
    </row>
    <row r="31" spans="1:7" ht="16.5" thickBot="1" x14ac:dyDescent="0.3">
      <c r="A31" s="14" t="s">
        <v>90</v>
      </c>
      <c r="B31" s="15">
        <v>55</v>
      </c>
      <c r="C31" s="46"/>
      <c r="D31" s="46"/>
      <c r="E31" s="14"/>
      <c r="F31" s="20"/>
      <c r="G31" s="21"/>
    </row>
    <row r="32" spans="1:7" x14ac:dyDescent="0.25">
      <c r="A32" s="37" t="s">
        <v>83</v>
      </c>
      <c r="B32" s="38" t="s">
        <v>57</v>
      </c>
      <c r="C32" s="42" t="s">
        <v>111</v>
      </c>
      <c r="D32" s="42" t="s">
        <v>110</v>
      </c>
      <c r="E32" s="4"/>
      <c r="F32" s="4"/>
      <c r="G32" s="5"/>
    </row>
    <row r="33" spans="1:7" x14ac:dyDescent="0.25">
      <c r="A33" s="12" t="s">
        <v>86</v>
      </c>
      <c r="B33" s="13" t="s">
        <v>105</v>
      </c>
      <c r="C33" s="43"/>
      <c r="D33" s="43"/>
      <c r="E33" s="6"/>
      <c r="F33" s="6"/>
      <c r="G33" s="7"/>
    </row>
    <row r="34" spans="1:7" ht="16.5" thickBot="1" x14ac:dyDescent="0.3">
      <c r="A34" s="12" t="s">
        <v>91</v>
      </c>
      <c r="B34" s="13" t="s">
        <v>15</v>
      </c>
      <c r="C34" s="43"/>
      <c r="D34" s="43"/>
      <c r="E34" s="8"/>
      <c r="F34" s="8"/>
      <c r="G34" s="9"/>
    </row>
    <row r="35" spans="1:7" x14ac:dyDescent="0.25">
      <c r="A35" s="12" t="s">
        <v>88</v>
      </c>
      <c r="B35" s="13">
        <v>75</v>
      </c>
      <c r="C35" s="44"/>
      <c r="D35" s="44"/>
      <c r="E35" s="11"/>
      <c r="F35" s="17"/>
      <c r="G35" s="18"/>
    </row>
    <row r="36" spans="1:7" x14ac:dyDescent="0.25">
      <c r="A36" s="12" t="s">
        <v>89</v>
      </c>
      <c r="B36" s="13">
        <v>20</v>
      </c>
      <c r="C36" s="45"/>
      <c r="D36" s="45"/>
      <c r="E36" s="12"/>
      <c r="F36" s="10"/>
      <c r="G36" s="19"/>
    </row>
    <row r="37" spans="1:7" ht="16.5" thickBot="1" x14ac:dyDescent="0.3">
      <c r="A37" s="14" t="s">
        <v>90</v>
      </c>
      <c r="B37" s="15">
        <v>55</v>
      </c>
      <c r="C37" s="46"/>
      <c r="D37" s="46"/>
      <c r="E37" s="14"/>
      <c r="F37" s="20"/>
      <c r="G37" s="21"/>
    </row>
    <row r="38" spans="1:7" x14ac:dyDescent="0.25">
      <c r="A38" s="37" t="s">
        <v>83</v>
      </c>
      <c r="B38" s="38" t="s">
        <v>57</v>
      </c>
      <c r="C38" s="42" t="s">
        <v>111</v>
      </c>
      <c r="D38" s="42" t="s">
        <v>110</v>
      </c>
      <c r="E38" s="4"/>
      <c r="F38" s="4"/>
      <c r="G38" s="5"/>
    </row>
    <row r="39" spans="1:7" x14ac:dyDescent="0.25">
      <c r="A39" s="12" t="s">
        <v>86</v>
      </c>
      <c r="B39" s="13" t="s">
        <v>105</v>
      </c>
      <c r="C39" s="43"/>
      <c r="D39" s="43"/>
      <c r="E39" s="6"/>
      <c r="F39" s="6"/>
      <c r="G39" s="7"/>
    </row>
    <row r="40" spans="1:7" ht="16.5" thickBot="1" x14ac:dyDescent="0.3">
      <c r="A40" s="12" t="s">
        <v>91</v>
      </c>
      <c r="B40" s="13" t="s">
        <v>16</v>
      </c>
      <c r="C40" s="43"/>
      <c r="D40" s="43"/>
      <c r="E40" s="8"/>
      <c r="F40" s="8"/>
      <c r="G40" s="9"/>
    </row>
    <row r="41" spans="1:7" x14ac:dyDescent="0.25">
      <c r="A41" s="12" t="s">
        <v>88</v>
      </c>
      <c r="B41" s="13">
        <v>75</v>
      </c>
      <c r="C41" s="44"/>
      <c r="D41" s="44"/>
      <c r="E41" s="11"/>
      <c r="F41" s="17"/>
      <c r="G41" s="18"/>
    </row>
    <row r="42" spans="1:7" x14ac:dyDescent="0.25">
      <c r="A42" s="12" t="s">
        <v>89</v>
      </c>
      <c r="B42" s="13">
        <v>20</v>
      </c>
      <c r="C42" s="45"/>
      <c r="D42" s="45"/>
      <c r="E42" s="12"/>
      <c r="F42" s="10"/>
      <c r="G42" s="19"/>
    </row>
    <row r="43" spans="1:7" ht="16.5" thickBot="1" x14ac:dyDescent="0.3">
      <c r="A43" s="14" t="s">
        <v>90</v>
      </c>
      <c r="B43" s="15">
        <v>55</v>
      </c>
      <c r="C43" s="46"/>
      <c r="D43" s="46"/>
      <c r="E43" s="14"/>
      <c r="F43" s="20"/>
      <c r="G43" s="21"/>
    </row>
    <row r="44" spans="1:7" x14ac:dyDescent="0.25">
      <c r="A44" s="37" t="s">
        <v>83</v>
      </c>
      <c r="B44" s="38" t="s">
        <v>42</v>
      </c>
      <c r="C44" s="42" t="s">
        <v>111</v>
      </c>
      <c r="D44" s="42" t="s">
        <v>110</v>
      </c>
      <c r="E44" s="4"/>
      <c r="F44" s="4"/>
      <c r="G44" s="5"/>
    </row>
    <row r="45" spans="1:7" x14ac:dyDescent="0.25">
      <c r="A45" s="12" t="s">
        <v>86</v>
      </c>
      <c r="B45" s="13" t="s">
        <v>81</v>
      </c>
      <c r="C45" s="43"/>
      <c r="D45" s="43"/>
      <c r="E45" s="6"/>
      <c r="F45" s="6"/>
      <c r="G45" s="7"/>
    </row>
    <row r="46" spans="1:7" ht="16.5" thickBot="1" x14ac:dyDescent="0.3">
      <c r="A46" s="12" t="s">
        <v>91</v>
      </c>
      <c r="B46" s="13" t="s">
        <v>1</v>
      </c>
      <c r="C46" s="43"/>
      <c r="D46" s="43"/>
      <c r="E46" s="8"/>
      <c r="F46" s="8"/>
      <c r="G46" s="9"/>
    </row>
    <row r="47" spans="1:7" x14ac:dyDescent="0.25">
      <c r="A47" s="12" t="s">
        <v>88</v>
      </c>
      <c r="B47" s="13">
        <v>75</v>
      </c>
      <c r="C47" s="44"/>
      <c r="D47" s="44"/>
      <c r="E47" s="11"/>
      <c r="F47" s="17"/>
      <c r="G47" s="18"/>
    </row>
    <row r="48" spans="1:7" x14ac:dyDescent="0.25">
      <c r="A48" s="12" t="s">
        <v>89</v>
      </c>
      <c r="B48" s="13">
        <v>20</v>
      </c>
      <c r="C48" s="45"/>
      <c r="D48" s="45"/>
      <c r="E48" s="12"/>
      <c r="F48" s="10"/>
      <c r="G48" s="19"/>
    </row>
    <row r="49" spans="1:7" ht="16.5" thickBot="1" x14ac:dyDescent="0.3">
      <c r="A49" s="14" t="s">
        <v>90</v>
      </c>
      <c r="B49" s="15">
        <v>55</v>
      </c>
      <c r="C49" s="46"/>
      <c r="D49" s="46"/>
      <c r="E49" s="14"/>
      <c r="F49" s="20"/>
      <c r="G49" s="21"/>
    </row>
    <row r="50" spans="1:7" x14ac:dyDescent="0.25">
      <c r="A50" s="37" t="s">
        <v>83</v>
      </c>
      <c r="B50" s="38" t="s">
        <v>42</v>
      </c>
      <c r="C50" s="42" t="s">
        <v>111</v>
      </c>
      <c r="D50" s="42" t="s">
        <v>110</v>
      </c>
      <c r="E50" s="4"/>
      <c r="F50" s="4"/>
      <c r="G50" s="5"/>
    </row>
    <row r="51" spans="1:7" x14ac:dyDescent="0.25">
      <c r="A51" s="12" t="s">
        <v>86</v>
      </c>
      <c r="B51" s="13" t="s">
        <v>81</v>
      </c>
      <c r="C51" s="43"/>
      <c r="D51" s="43"/>
      <c r="E51" s="6"/>
      <c r="F51" s="6"/>
      <c r="G51" s="7"/>
    </row>
    <row r="52" spans="1:7" ht="16.5" thickBot="1" x14ac:dyDescent="0.3">
      <c r="A52" s="12" t="s">
        <v>91</v>
      </c>
      <c r="B52" s="13" t="s">
        <v>6</v>
      </c>
      <c r="C52" s="43"/>
      <c r="D52" s="43"/>
      <c r="E52" s="8"/>
      <c r="F52" s="8"/>
      <c r="G52" s="9"/>
    </row>
    <row r="53" spans="1:7" x14ac:dyDescent="0.25">
      <c r="A53" s="12" t="s">
        <v>88</v>
      </c>
      <c r="B53" s="13">
        <v>75</v>
      </c>
      <c r="C53" s="44"/>
      <c r="D53" s="44"/>
      <c r="E53" s="11"/>
      <c r="F53" s="17"/>
      <c r="G53" s="18"/>
    </row>
    <row r="54" spans="1:7" x14ac:dyDescent="0.25">
      <c r="A54" s="12" t="s">
        <v>89</v>
      </c>
      <c r="B54" s="13">
        <v>20</v>
      </c>
      <c r="C54" s="45"/>
      <c r="D54" s="45"/>
      <c r="E54" s="12"/>
      <c r="F54" s="10"/>
      <c r="G54" s="19"/>
    </row>
    <row r="55" spans="1:7" ht="16.5" thickBot="1" x14ac:dyDescent="0.3">
      <c r="A55" s="14" t="s">
        <v>90</v>
      </c>
      <c r="B55" s="15">
        <v>55</v>
      </c>
      <c r="C55" s="46"/>
      <c r="D55" s="46"/>
      <c r="E55" s="14"/>
      <c r="F55" s="20"/>
      <c r="G55" s="21"/>
    </row>
    <row r="56" spans="1:7" x14ac:dyDescent="0.25">
      <c r="A56" s="37" t="s">
        <v>83</v>
      </c>
      <c r="B56" s="38" t="s">
        <v>42</v>
      </c>
      <c r="C56" s="42" t="s">
        <v>111</v>
      </c>
      <c r="D56" s="42" t="s">
        <v>110</v>
      </c>
      <c r="E56" s="4"/>
      <c r="F56" s="4"/>
      <c r="G56" s="5"/>
    </row>
    <row r="57" spans="1:7" x14ac:dyDescent="0.25">
      <c r="A57" s="12" t="s">
        <v>86</v>
      </c>
      <c r="B57" s="13" t="s">
        <v>81</v>
      </c>
      <c r="C57" s="43"/>
      <c r="D57" s="43"/>
      <c r="E57" s="6"/>
      <c r="F57" s="6"/>
      <c r="G57" s="7"/>
    </row>
    <row r="58" spans="1:7" ht="16.5" thickBot="1" x14ac:dyDescent="0.3">
      <c r="A58" s="12" t="s">
        <v>91</v>
      </c>
      <c r="B58" s="13" t="s">
        <v>7</v>
      </c>
      <c r="C58" s="43"/>
      <c r="D58" s="43"/>
      <c r="E58" s="8"/>
      <c r="F58" s="8"/>
      <c r="G58" s="9"/>
    </row>
    <row r="59" spans="1:7" x14ac:dyDescent="0.25">
      <c r="A59" s="12" t="s">
        <v>88</v>
      </c>
      <c r="B59" s="13">
        <v>75</v>
      </c>
      <c r="C59" s="44"/>
      <c r="D59" s="44"/>
      <c r="E59" s="11"/>
      <c r="F59" s="17"/>
      <c r="G59" s="18"/>
    </row>
    <row r="60" spans="1:7" x14ac:dyDescent="0.25">
      <c r="A60" s="12" t="s">
        <v>89</v>
      </c>
      <c r="B60" s="13">
        <v>20</v>
      </c>
      <c r="C60" s="45"/>
      <c r="D60" s="45"/>
      <c r="E60" s="12"/>
      <c r="F60" s="10"/>
      <c r="G60" s="19"/>
    </row>
    <row r="61" spans="1:7" ht="16.5" thickBot="1" x14ac:dyDescent="0.3">
      <c r="A61" s="14" t="s">
        <v>90</v>
      </c>
      <c r="B61" s="15">
        <v>55</v>
      </c>
      <c r="C61" s="46"/>
      <c r="D61" s="46"/>
      <c r="E61" s="14"/>
      <c r="F61" s="20"/>
      <c r="G61" s="21"/>
    </row>
    <row r="62" spans="1:7" x14ac:dyDescent="0.25">
      <c r="A62" s="37" t="s">
        <v>83</v>
      </c>
      <c r="B62" s="38" t="s">
        <v>42</v>
      </c>
      <c r="C62" s="42" t="s">
        <v>111</v>
      </c>
      <c r="D62" s="42" t="s">
        <v>110</v>
      </c>
      <c r="E62" s="4"/>
      <c r="F62" s="4"/>
      <c r="G62" s="5"/>
    </row>
    <row r="63" spans="1:7" x14ac:dyDescent="0.25">
      <c r="A63" s="12" t="s">
        <v>86</v>
      </c>
      <c r="B63" s="13" t="s">
        <v>81</v>
      </c>
      <c r="C63" s="43"/>
      <c r="D63" s="43"/>
      <c r="E63" s="6"/>
      <c r="F63" s="6"/>
      <c r="G63" s="7"/>
    </row>
    <row r="64" spans="1:7" ht="16.5" thickBot="1" x14ac:dyDescent="0.3">
      <c r="A64" s="12" t="s">
        <v>91</v>
      </c>
      <c r="B64" s="13" t="s">
        <v>8</v>
      </c>
      <c r="C64" s="43"/>
      <c r="D64" s="43"/>
      <c r="E64" s="8"/>
      <c r="F64" s="8"/>
      <c r="G64" s="9"/>
    </row>
    <row r="65" spans="1:7" x14ac:dyDescent="0.25">
      <c r="A65" s="12" t="s">
        <v>88</v>
      </c>
      <c r="B65" s="13">
        <v>75</v>
      </c>
      <c r="C65" s="44"/>
      <c r="D65" s="44"/>
      <c r="E65" s="11"/>
      <c r="F65" s="17"/>
      <c r="G65" s="18"/>
    </row>
    <row r="66" spans="1:7" x14ac:dyDescent="0.25">
      <c r="A66" s="12" t="s">
        <v>89</v>
      </c>
      <c r="B66" s="13">
        <v>20</v>
      </c>
      <c r="C66" s="45"/>
      <c r="D66" s="45"/>
      <c r="E66" s="12"/>
      <c r="F66" s="10"/>
      <c r="G66" s="19"/>
    </row>
    <row r="67" spans="1:7" ht="16.5" thickBot="1" x14ac:dyDescent="0.3">
      <c r="A67" s="14" t="s">
        <v>90</v>
      </c>
      <c r="B67" s="15">
        <v>55</v>
      </c>
      <c r="C67" s="46"/>
      <c r="D67" s="46"/>
      <c r="E67" s="14"/>
      <c r="F67" s="20"/>
      <c r="G67" s="21"/>
    </row>
    <row r="68" spans="1:7" x14ac:dyDescent="0.25">
      <c r="A68" s="37" t="s">
        <v>83</v>
      </c>
      <c r="B68" s="38" t="s">
        <v>68</v>
      </c>
      <c r="C68" s="42" t="s">
        <v>111</v>
      </c>
      <c r="D68" s="42" t="s">
        <v>110</v>
      </c>
      <c r="E68" s="4"/>
      <c r="F68" s="4"/>
      <c r="G68" s="5"/>
    </row>
    <row r="69" spans="1:7" x14ac:dyDescent="0.25">
      <c r="A69" s="12" t="s">
        <v>86</v>
      </c>
      <c r="B69" s="13" t="s">
        <v>78</v>
      </c>
      <c r="C69" s="43"/>
      <c r="D69" s="43"/>
      <c r="E69" s="6"/>
      <c r="F69" s="6"/>
      <c r="G69" s="7"/>
    </row>
    <row r="70" spans="1:7" ht="16.5" thickBot="1" x14ac:dyDescent="0.3">
      <c r="A70" s="12" t="s">
        <v>91</v>
      </c>
      <c r="B70" s="13" t="s">
        <v>22</v>
      </c>
      <c r="C70" s="43"/>
      <c r="D70" s="43"/>
      <c r="E70" s="8"/>
      <c r="F70" s="8"/>
      <c r="G70" s="9"/>
    </row>
    <row r="71" spans="1:7" x14ac:dyDescent="0.25">
      <c r="A71" s="12" t="s">
        <v>88</v>
      </c>
      <c r="B71" s="13">
        <v>75</v>
      </c>
      <c r="C71" s="44"/>
      <c r="D71" s="44"/>
      <c r="E71" s="11"/>
      <c r="F71" s="17"/>
      <c r="G71" s="18"/>
    </row>
    <row r="72" spans="1:7" x14ac:dyDescent="0.25">
      <c r="A72" s="12" t="s">
        <v>89</v>
      </c>
      <c r="B72" s="13">
        <v>20</v>
      </c>
      <c r="C72" s="45"/>
      <c r="D72" s="45"/>
      <c r="E72" s="12"/>
      <c r="F72" s="10"/>
      <c r="G72" s="19"/>
    </row>
    <row r="73" spans="1:7" ht="16.5" thickBot="1" x14ac:dyDescent="0.3">
      <c r="A73" s="14" t="s">
        <v>90</v>
      </c>
      <c r="B73" s="15">
        <v>55</v>
      </c>
      <c r="C73" s="46"/>
      <c r="D73" s="46"/>
      <c r="E73" s="14"/>
      <c r="F73" s="20"/>
      <c r="G73" s="21"/>
    </row>
    <row r="74" spans="1:7" x14ac:dyDescent="0.25">
      <c r="A74" s="37" t="s">
        <v>83</v>
      </c>
      <c r="B74" s="38" t="s">
        <v>32</v>
      </c>
      <c r="C74" s="42" t="s">
        <v>111</v>
      </c>
      <c r="D74" s="42" t="s">
        <v>110</v>
      </c>
      <c r="E74" s="4"/>
      <c r="F74" s="4"/>
      <c r="G74" s="5"/>
    </row>
    <row r="75" spans="1:7" x14ac:dyDescent="0.25">
      <c r="A75" s="12" t="s">
        <v>86</v>
      </c>
      <c r="B75" s="13" t="s">
        <v>79</v>
      </c>
      <c r="C75" s="43"/>
      <c r="D75" s="43"/>
      <c r="E75" s="6"/>
      <c r="F75" s="6"/>
      <c r="G75" s="7"/>
    </row>
    <row r="76" spans="1:7" ht="16.5" thickBot="1" x14ac:dyDescent="0.3">
      <c r="A76" s="12" t="s">
        <v>91</v>
      </c>
      <c r="B76" s="13" t="s">
        <v>3</v>
      </c>
      <c r="C76" s="43"/>
      <c r="D76" s="43"/>
      <c r="E76" s="8"/>
      <c r="F76" s="8"/>
      <c r="G76" s="9"/>
    </row>
    <row r="77" spans="1:7" x14ac:dyDescent="0.25">
      <c r="A77" s="12" t="s">
        <v>88</v>
      </c>
      <c r="B77" s="13">
        <v>75</v>
      </c>
      <c r="C77" s="44"/>
      <c r="D77" s="44"/>
      <c r="E77" s="11"/>
      <c r="F77" s="17"/>
      <c r="G77" s="18"/>
    </row>
    <row r="78" spans="1:7" x14ac:dyDescent="0.25">
      <c r="A78" s="12" t="s">
        <v>89</v>
      </c>
      <c r="B78" s="13">
        <v>20</v>
      </c>
      <c r="C78" s="45"/>
      <c r="D78" s="45"/>
      <c r="E78" s="12"/>
      <c r="F78" s="10"/>
      <c r="G78" s="19"/>
    </row>
    <row r="79" spans="1:7" ht="16.5" thickBot="1" x14ac:dyDescent="0.3">
      <c r="A79" s="14" t="s">
        <v>90</v>
      </c>
      <c r="B79" s="15">
        <v>55</v>
      </c>
      <c r="C79" s="46"/>
      <c r="D79" s="46"/>
      <c r="E79" s="14"/>
      <c r="F79" s="20"/>
      <c r="G79" s="21"/>
    </row>
    <row r="80" spans="1:7" x14ac:dyDescent="0.25">
      <c r="A80" s="37" t="s">
        <v>83</v>
      </c>
      <c r="B80" s="38" t="s">
        <v>32</v>
      </c>
      <c r="C80" s="42" t="s">
        <v>111</v>
      </c>
      <c r="D80" s="42" t="s">
        <v>110</v>
      </c>
      <c r="E80" s="4"/>
      <c r="F80" s="4"/>
      <c r="G80" s="5"/>
    </row>
    <row r="81" spans="1:7" x14ac:dyDescent="0.25">
      <c r="A81" s="12" t="s">
        <v>86</v>
      </c>
      <c r="B81" s="13" t="s">
        <v>79</v>
      </c>
      <c r="C81" s="43"/>
      <c r="D81" s="43"/>
      <c r="E81" s="6"/>
      <c r="F81" s="6"/>
      <c r="G81" s="7"/>
    </row>
    <row r="82" spans="1:7" ht="16.5" thickBot="1" x14ac:dyDescent="0.3">
      <c r="A82" s="12" t="s">
        <v>91</v>
      </c>
      <c r="B82" s="13" t="s">
        <v>4</v>
      </c>
      <c r="C82" s="43"/>
      <c r="D82" s="43"/>
      <c r="E82" s="8"/>
      <c r="F82" s="8"/>
      <c r="G82" s="9"/>
    </row>
    <row r="83" spans="1:7" x14ac:dyDescent="0.25">
      <c r="A83" s="12" t="s">
        <v>88</v>
      </c>
      <c r="B83" s="13">
        <v>75</v>
      </c>
      <c r="C83" s="44"/>
      <c r="D83" s="44"/>
      <c r="E83" s="11"/>
      <c r="F83" s="17"/>
      <c r="G83" s="18"/>
    </row>
    <row r="84" spans="1:7" x14ac:dyDescent="0.25">
      <c r="A84" s="12" t="s">
        <v>89</v>
      </c>
      <c r="B84" s="13">
        <v>20</v>
      </c>
      <c r="C84" s="45"/>
      <c r="D84" s="45"/>
      <c r="E84" s="12"/>
      <c r="F84" s="10"/>
      <c r="G84" s="19"/>
    </row>
    <row r="85" spans="1:7" ht="16.5" thickBot="1" x14ac:dyDescent="0.3">
      <c r="A85" s="14" t="s">
        <v>90</v>
      </c>
      <c r="B85" s="15">
        <v>55</v>
      </c>
      <c r="C85" s="46"/>
      <c r="D85" s="46"/>
      <c r="E85" s="14"/>
      <c r="F85" s="20"/>
      <c r="G85" s="21"/>
    </row>
    <row r="86" spans="1:7" x14ac:dyDescent="0.25">
      <c r="A86" s="37" t="s">
        <v>83</v>
      </c>
      <c r="B86" s="38" t="s">
        <v>32</v>
      </c>
      <c r="C86" s="42" t="s">
        <v>111</v>
      </c>
      <c r="D86" s="42" t="s">
        <v>110</v>
      </c>
      <c r="E86" s="4"/>
      <c r="F86" s="4"/>
      <c r="G86" s="5"/>
    </row>
    <row r="87" spans="1:7" x14ac:dyDescent="0.25">
      <c r="A87" s="12" t="s">
        <v>86</v>
      </c>
      <c r="B87" s="13" t="s">
        <v>79</v>
      </c>
      <c r="C87" s="43"/>
      <c r="D87" s="43"/>
      <c r="E87" s="6"/>
      <c r="F87" s="6"/>
      <c r="G87" s="7"/>
    </row>
    <row r="88" spans="1:7" ht="16.5" thickBot="1" x14ac:dyDescent="0.3">
      <c r="A88" s="12" t="s">
        <v>91</v>
      </c>
      <c r="B88" s="13" t="s">
        <v>5</v>
      </c>
      <c r="C88" s="43"/>
      <c r="D88" s="43"/>
      <c r="E88" s="8"/>
      <c r="F88" s="8"/>
      <c r="G88" s="9"/>
    </row>
    <row r="89" spans="1:7" x14ac:dyDescent="0.25">
      <c r="A89" s="12" t="s">
        <v>88</v>
      </c>
      <c r="B89" s="13">
        <v>75</v>
      </c>
      <c r="C89" s="44"/>
      <c r="D89" s="44"/>
      <c r="E89" s="11"/>
      <c r="F89" s="17"/>
      <c r="G89" s="18"/>
    </row>
    <row r="90" spans="1:7" x14ac:dyDescent="0.25">
      <c r="A90" s="12" t="s">
        <v>89</v>
      </c>
      <c r="B90" s="13">
        <v>20</v>
      </c>
      <c r="C90" s="45"/>
      <c r="D90" s="45"/>
      <c r="E90" s="12"/>
      <c r="F90" s="10"/>
      <c r="G90" s="19"/>
    </row>
    <row r="91" spans="1:7" ht="16.5" thickBot="1" x14ac:dyDescent="0.3">
      <c r="A91" s="14" t="s">
        <v>90</v>
      </c>
      <c r="B91" s="15">
        <v>55</v>
      </c>
      <c r="C91" s="46"/>
      <c r="D91" s="46"/>
      <c r="E91" s="14"/>
      <c r="F91" s="20"/>
      <c r="G91" s="21"/>
    </row>
    <row r="92" spans="1:7" x14ac:dyDescent="0.25">
      <c r="A92" s="37" t="s">
        <v>83</v>
      </c>
      <c r="B92" s="38" t="s">
        <v>32</v>
      </c>
      <c r="C92" s="42" t="s">
        <v>111</v>
      </c>
      <c r="D92" s="42" t="s">
        <v>110</v>
      </c>
      <c r="E92" s="4"/>
      <c r="F92" s="4"/>
      <c r="G92" s="5"/>
    </row>
    <row r="93" spans="1:7" x14ac:dyDescent="0.25">
      <c r="A93" s="12" t="s">
        <v>86</v>
      </c>
      <c r="B93" s="13" t="s">
        <v>79</v>
      </c>
      <c r="C93" s="43"/>
      <c r="D93" s="43"/>
      <c r="E93" s="6"/>
      <c r="F93" s="6"/>
      <c r="G93" s="7"/>
    </row>
    <row r="94" spans="1:7" ht="16.5" thickBot="1" x14ac:dyDescent="0.3">
      <c r="A94" s="12" t="s">
        <v>91</v>
      </c>
      <c r="B94" s="13" t="s">
        <v>6</v>
      </c>
      <c r="C94" s="43"/>
      <c r="D94" s="43"/>
      <c r="E94" s="8"/>
      <c r="F94" s="8"/>
      <c r="G94" s="9"/>
    </row>
    <row r="95" spans="1:7" x14ac:dyDescent="0.25">
      <c r="A95" s="12" t="s">
        <v>88</v>
      </c>
      <c r="B95" s="13">
        <v>75</v>
      </c>
      <c r="C95" s="44"/>
      <c r="D95" s="44"/>
      <c r="E95" s="11"/>
      <c r="F95" s="17"/>
      <c r="G95" s="18"/>
    </row>
    <row r="96" spans="1:7" x14ac:dyDescent="0.25">
      <c r="A96" s="12" t="s">
        <v>89</v>
      </c>
      <c r="B96" s="13">
        <v>20</v>
      </c>
      <c r="C96" s="45"/>
      <c r="D96" s="45"/>
      <c r="E96" s="12"/>
      <c r="F96" s="10"/>
      <c r="G96" s="19"/>
    </row>
    <row r="97" spans="1:7" ht="16.5" thickBot="1" x14ac:dyDescent="0.3">
      <c r="A97" s="14" t="s">
        <v>90</v>
      </c>
      <c r="B97" s="15">
        <v>55</v>
      </c>
      <c r="C97" s="46"/>
      <c r="D97" s="46"/>
      <c r="E97" s="14"/>
      <c r="F97" s="20"/>
      <c r="G97" s="21"/>
    </row>
    <row r="98" spans="1:7" x14ac:dyDescent="0.25">
      <c r="A98" s="37" t="s">
        <v>83</v>
      </c>
      <c r="B98" s="38" t="s">
        <v>32</v>
      </c>
      <c r="C98" s="42" t="s">
        <v>111</v>
      </c>
      <c r="D98" s="42" t="s">
        <v>110</v>
      </c>
      <c r="E98" s="4"/>
      <c r="F98" s="4"/>
      <c r="G98" s="5"/>
    </row>
    <row r="99" spans="1:7" x14ac:dyDescent="0.25">
      <c r="A99" s="12" t="s">
        <v>86</v>
      </c>
      <c r="B99" s="13" t="s">
        <v>79</v>
      </c>
      <c r="C99" s="43"/>
      <c r="D99" s="43"/>
      <c r="E99" s="6"/>
      <c r="F99" s="6"/>
      <c r="G99" s="7"/>
    </row>
    <row r="100" spans="1:7" ht="16.5" thickBot="1" x14ac:dyDescent="0.3">
      <c r="A100" s="12" t="s">
        <v>91</v>
      </c>
      <c r="B100" s="13" t="s">
        <v>11</v>
      </c>
      <c r="C100" s="43"/>
      <c r="D100" s="43"/>
      <c r="E100" s="8"/>
      <c r="F100" s="8"/>
      <c r="G100" s="9"/>
    </row>
    <row r="101" spans="1:7" x14ac:dyDescent="0.25">
      <c r="A101" s="12" t="s">
        <v>88</v>
      </c>
      <c r="B101" s="13">
        <v>75</v>
      </c>
      <c r="C101" s="44"/>
      <c r="D101" s="44"/>
      <c r="E101" s="11"/>
      <c r="F101" s="17"/>
      <c r="G101" s="18"/>
    </row>
    <row r="102" spans="1:7" x14ac:dyDescent="0.25">
      <c r="A102" s="12" t="s">
        <v>89</v>
      </c>
      <c r="B102" s="13">
        <v>20</v>
      </c>
      <c r="C102" s="45"/>
      <c r="D102" s="45"/>
      <c r="E102" s="12"/>
      <c r="F102" s="10"/>
      <c r="G102" s="19"/>
    </row>
    <row r="103" spans="1:7" ht="16.5" thickBot="1" x14ac:dyDescent="0.3">
      <c r="A103" s="14" t="s">
        <v>90</v>
      </c>
      <c r="B103" s="15">
        <v>55</v>
      </c>
      <c r="C103" s="46"/>
      <c r="D103" s="46"/>
      <c r="E103" s="14"/>
      <c r="F103" s="20"/>
      <c r="G103" s="21"/>
    </row>
    <row r="104" spans="1:7" x14ac:dyDescent="0.25">
      <c r="A104" s="37" t="s">
        <v>83</v>
      </c>
      <c r="B104" s="38" t="s">
        <v>32</v>
      </c>
      <c r="C104" s="42" t="s">
        <v>111</v>
      </c>
      <c r="D104" s="42" t="s">
        <v>110</v>
      </c>
      <c r="E104" s="4"/>
      <c r="F104" s="4"/>
      <c r="G104" s="5"/>
    </row>
    <row r="105" spans="1:7" x14ac:dyDescent="0.25">
      <c r="A105" s="12" t="s">
        <v>86</v>
      </c>
      <c r="B105" s="13" t="s">
        <v>79</v>
      </c>
      <c r="C105" s="43"/>
      <c r="D105" s="43"/>
      <c r="E105" s="6"/>
      <c r="F105" s="6"/>
      <c r="G105" s="7"/>
    </row>
    <row r="106" spans="1:7" ht="16.5" thickBot="1" x14ac:dyDescent="0.3">
      <c r="A106" s="12" t="s">
        <v>91</v>
      </c>
      <c r="B106" s="13" t="s">
        <v>15</v>
      </c>
      <c r="C106" s="43"/>
      <c r="D106" s="43"/>
      <c r="E106" s="8"/>
      <c r="F106" s="8"/>
      <c r="G106" s="9"/>
    </row>
    <row r="107" spans="1:7" x14ac:dyDescent="0.25">
      <c r="A107" s="12" t="s">
        <v>88</v>
      </c>
      <c r="B107" s="13">
        <v>75</v>
      </c>
      <c r="C107" s="44"/>
      <c r="D107" s="44"/>
      <c r="E107" s="11"/>
      <c r="F107" s="17"/>
      <c r="G107" s="18"/>
    </row>
    <row r="108" spans="1:7" x14ac:dyDescent="0.25">
      <c r="A108" s="12" t="s">
        <v>89</v>
      </c>
      <c r="B108" s="13">
        <v>20</v>
      </c>
      <c r="C108" s="45"/>
      <c r="D108" s="45"/>
      <c r="E108" s="12"/>
      <c r="F108" s="10"/>
      <c r="G108" s="19"/>
    </row>
    <row r="109" spans="1:7" ht="16.5" thickBot="1" x14ac:dyDescent="0.3">
      <c r="A109" s="14" t="s">
        <v>90</v>
      </c>
      <c r="B109" s="15">
        <v>55</v>
      </c>
      <c r="C109" s="46"/>
      <c r="D109" s="46"/>
      <c r="E109" s="14"/>
      <c r="F109" s="20"/>
      <c r="G109" s="21"/>
    </row>
    <row r="110" spans="1:7" x14ac:dyDescent="0.25">
      <c r="A110" s="37" t="s">
        <v>83</v>
      </c>
      <c r="B110" s="38" t="s">
        <v>32</v>
      </c>
      <c r="C110" s="42" t="s">
        <v>111</v>
      </c>
      <c r="D110" s="42" t="s">
        <v>110</v>
      </c>
      <c r="E110" s="4"/>
      <c r="F110" s="4"/>
      <c r="G110" s="5"/>
    </row>
    <row r="111" spans="1:7" x14ac:dyDescent="0.25">
      <c r="A111" s="12" t="s">
        <v>86</v>
      </c>
      <c r="B111" s="13" t="s">
        <v>79</v>
      </c>
      <c r="C111" s="43"/>
      <c r="D111" s="43"/>
      <c r="E111" s="6"/>
      <c r="F111" s="6"/>
      <c r="G111" s="7"/>
    </row>
    <row r="112" spans="1:7" ht="16.5" thickBot="1" x14ac:dyDescent="0.3">
      <c r="A112" s="12" t="s">
        <v>91</v>
      </c>
      <c r="B112" s="13" t="s">
        <v>16</v>
      </c>
      <c r="C112" s="43"/>
      <c r="D112" s="43"/>
      <c r="E112" s="8"/>
      <c r="F112" s="8"/>
      <c r="G112" s="9"/>
    </row>
    <row r="113" spans="1:7" x14ac:dyDescent="0.25">
      <c r="A113" s="12" t="s">
        <v>88</v>
      </c>
      <c r="B113" s="13">
        <v>75</v>
      </c>
      <c r="C113" s="44"/>
      <c r="D113" s="44"/>
      <c r="E113" s="11"/>
      <c r="F113" s="17"/>
      <c r="G113" s="18"/>
    </row>
    <row r="114" spans="1:7" x14ac:dyDescent="0.25">
      <c r="A114" s="12" t="s">
        <v>89</v>
      </c>
      <c r="B114" s="13">
        <v>20</v>
      </c>
      <c r="C114" s="45"/>
      <c r="D114" s="45"/>
      <c r="E114" s="12"/>
      <c r="F114" s="10"/>
      <c r="G114" s="19"/>
    </row>
    <row r="115" spans="1:7" ht="16.5" thickBot="1" x14ac:dyDescent="0.3">
      <c r="A115" s="14" t="s">
        <v>90</v>
      </c>
      <c r="B115" s="15">
        <v>55</v>
      </c>
      <c r="C115" s="46"/>
      <c r="D115" s="46"/>
      <c r="E115" s="14"/>
      <c r="F115" s="20"/>
      <c r="G115" s="21"/>
    </row>
    <row r="116" spans="1:7" x14ac:dyDescent="0.25">
      <c r="A116" s="37" t="s">
        <v>83</v>
      </c>
      <c r="B116" s="38" t="s">
        <v>32</v>
      </c>
      <c r="C116" s="42" t="s">
        <v>111</v>
      </c>
      <c r="D116" s="42" t="s">
        <v>110</v>
      </c>
      <c r="E116" s="4"/>
      <c r="F116" s="4"/>
      <c r="G116" s="5"/>
    </row>
    <row r="117" spans="1:7" x14ac:dyDescent="0.25">
      <c r="A117" s="12" t="s">
        <v>86</v>
      </c>
      <c r="B117" s="13" t="s">
        <v>79</v>
      </c>
      <c r="C117" s="43"/>
      <c r="D117" s="43"/>
      <c r="E117" s="6"/>
      <c r="F117" s="6"/>
      <c r="G117" s="7"/>
    </row>
    <row r="118" spans="1:7" ht="16.5" thickBot="1" x14ac:dyDescent="0.3">
      <c r="A118" s="12" t="s">
        <v>91</v>
      </c>
      <c r="B118" s="13" t="s">
        <v>17</v>
      </c>
      <c r="C118" s="43"/>
      <c r="D118" s="43"/>
      <c r="E118" s="8"/>
      <c r="F118" s="8"/>
      <c r="G118" s="9"/>
    </row>
    <row r="119" spans="1:7" x14ac:dyDescent="0.25">
      <c r="A119" s="12" t="s">
        <v>88</v>
      </c>
      <c r="B119" s="13">
        <v>75</v>
      </c>
      <c r="C119" s="44"/>
      <c r="D119" s="44"/>
      <c r="E119" s="11"/>
      <c r="F119" s="17"/>
      <c r="G119" s="18"/>
    </row>
    <row r="120" spans="1:7" x14ac:dyDescent="0.25">
      <c r="A120" s="12" t="s">
        <v>89</v>
      </c>
      <c r="B120" s="13">
        <v>20</v>
      </c>
      <c r="C120" s="45"/>
      <c r="D120" s="45"/>
      <c r="E120" s="12"/>
      <c r="F120" s="10"/>
      <c r="G120" s="19"/>
    </row>
    <row r="121" spans="1:7" ht="16.5" thickBot="1" x14ac:dyDescent="0.3">
      <c r="A121" s="14" t="s">
        <v>90</v>
      </c>
      <c r="B121" s="15">
        <v>55</v>
      </c>
      <c r="C121" s="46"/>
      <c r="D121" s="46"/>
      <c r="E121" s="14"/>
      <c r="F121" s="20"/>
      <c r="G121" s="21"/>
    </row>
    <row r="122" spans="1:7" x14ac:dyDescent="0.25">
      <c r="A122" s="37" t="s">
        <v>83</v>
      </c>
      <c r="B122" s="38" t="s">
        <v>32</v>
      </c>
      <c r="C122" s="42" t="s">
        <v>111</v>
      </c>
      <c r="D122" s="42" t="s">
        <v>110</v>
      </c>
      <c r="E122" s="4"/>
      <c r="F122" s="4"/>
      <c r="G122" s="5"/>
    </row>
    <row r="123" spans="1:7" x14ac:dyDescent="0.25">
      <c r="A123" s="12" t="s">
        <v>86</v>
      </c>
      <c r="B123" s="13" t="s">
        <v>79</v>
      </c>
      <c r="C123" s="43"/>
      <c r="D123" s="43"/>
      <c r="E123" s="6"/>
      <c r="F123" s="6"/>
      <c r="G123" s="7"/>
    </row>
    <row r="124" spans="1:7" ht="16.5" thickBot="1" x14ac:dyDescent="0.3">
      <c r="A124" s="12" t="s">
        <v>91</v>
      </c>
      <c r="B124" s="13" t="s">
        <v>18</v>
      </c>
      <c r="C124" s="43"/>
      <c r="D124" s="43"/>
      <c r="E124" s="8"/>
      <c r="F124" s="8"/>
      <c r="G124" s="9"/>
    </row>
    <row r="125" spans="1:7" x14ac:dyDescent="0.25">
      <c r="A125" s="12" t="s">
        <v>88</v>
      </c>
      <c r="B125" s="13">
        <v>75</v>
      </c>
      <c r="C125" s="44"/>
      <c r="D125" s="44"/>
      <c r="E125" s="11"/>
      <c r="F125" s="17"/>
      <c r="G125" s="18"/>
    </row>
    <row r="126" spans="1:7" x14ac:dyDescent="0.25">
      <c r="A126" s="12" t="s">
        <v>89</v>
      </c>
      <c r="B126" s="13">
        <v>20</v>
      </c>
      <c r="C126" s="45"/>
      <c r="D126" s="45"/>
      <c r="E126" s="12"/>
      <c r="F126" s="10"/>
      <c r="G126" s="19"/>
    </row>
    <row r="127" spans="1:7" ht="16.5" thickBot="1" x14ac:dyDescent="0.3">
      <c r="A127" s="14" t="s">
        <v>90</v>
      </c>
      <c r="B127" s="15">
        <v>55</v>
      </c>
      <c r="C127" s="46"/>
      <c r="D127" s="46"/>
      <c r="E127" s="14"/>
      <c r="F127" s="20"/>
      <c r="G127" s="21"/>
    </row>
    <row r="128" spans="1:7" x14ac:dyDescent="0.25">
      <c r="A128" s="37" t="s">
        <v>83</v>
      </c>
      <c r="B128" s="38" t="s">
        <v>33</v>
      </c>
      <c r="C128" s="42" t="s">
        <v>111</v>
      </c>
      <c r="D128" s="42" t="s">
        <v>110</v>
      </c>
      <c r="E128" s="4"/>
      <c r="F128" s="4"/>
      <c r="G128" s="5"/>
    </row>
    <row r="129" spans="1:7" x14ac:dyDescent="0.25">
      <c r="A129" s="12" t="s">
        <v>86</v>
      </c>
      <c r="B129" s="13" t="s">
        <v>82</v>
      </c>
      <c r="C129" s="43"/>
      <c r="D129" s="43"/>
      <c r="E129" s="6"/>
      <c r="F129" s="6"/>
      <c r="G129" s="7"/>
    </row>
    <row r="130" spans="1:7" ht="16.5" thickBot="1" x14ac:dyDescent="0.3">
      <c r="A130" s="12" t="s">
        <v>91</v>
      </c>
      <c r="B130" s="13" t="s">
        <v>3</v>
      </c>
      <c r="C130" s="43"/>
      <c r="D130" s="43"/>
      <c r="E130" s="8"/>
      <c r="F130" s="8"/>
      <c r="G130" s="9"/>
    </row>
    <row r="131" spans="1:7" x14ac:dyDescent="0.25">
      <c r="A131" s="12" t="s">
        <v>88</v>
      </c>
      <c r="B131" s="76">
        <f>(D131/C131)*100</f>
        <v>92</v>
      </c>
      <c r="C131" s="78">
        <v>25</v>
      </c>
      <c r="D131" s="78">
        <v>23</v>
      </c>
      <c r="E131" s="77"/>
      <c r="F131" s="17"/>
      <c r="G131" s="18"/>
    </row>
    <row r="132" spans="1:7" x14ac:dyDescent="0.25">
      <c r="A132" s="12" t="s">
        <v>89</v>
      </c>
      <c r="B132" s="76">
        <f>(D132/C132)*100</f>
        <v>50</v>
      </c>
      <c r="C132" s="78">
        <v>2</v>
      </c>
      <c r="D132" s="78">
        <v>1</v>
      </c>
      <c r="E132" s="79"/>
      <c r="F132" s="10"/>
      <c r="G132" s="19"/>
    </row>
    <row r="133" spans="1:7" ht="16.5" thickBot="1" x14ac:dyDescent="0.3">
      <c r="A133" s="14" t="s">
        <v>90</v>
      </c>
      <c r="B133" s="76">
        <f>(D133/C133)*100</f>
        <v>25</v>
      </c>
      <c r="C133" s="78">
        <v>4</v>
      </c>
      <c r="D133" s="78">
        <v>1</v>
      </c>
      <c r="E133" s="80"/>
      <c r="F133" s="20"/>
      <c r="G133" s="21"/>
    </row>
    <row r="134" spans="1:7" x14ac:dyDescent="0.25">
      <c r="A134" s="37" t="s">
        <v>83</v>
      </c>
      <c r="B134" s="38" t="s">
        <v>33</v>
      </c>
      <c r="C134" s="81" t="s">
        <v>111</v>
      </c>
      <c r="D134" s="81" t="s">
        <v>110</v>
      </c>
      <c r="E134" s="4"/>
      <c r="F134" s="4"/>
      <c r="G134" s="5"/>
    </row>
    <row r="135" spans="1:7" x14ac:dyDescent="0.25">
      <c r="A135" s="12" t="s">
        <v>86</v>
      </c>
      <c r="B135" s="13" t="s">
        <v>82</v>
      </c>
      <c r="C135" s="43"/>
      <c r="D135" s="43"/>
      <c r="E135" s="6"/>
      <c r="F135" s="6"/>
      <c r="G135" s="7"/>
    </row>
    <row r="136" spans="1:7" ht="16.5" thickBot="1" x14ac:dyDescent="0.3">
      <c r="A136" s="12" t="s">
        <v>91</v>
      </c>
      <c r="B136" s="13" t="s">
        <v>4</v>
      </c>
      <c r="C136" s="43"/>
      <c r="D136" s="43"/>
      <c r="E136" s="8"/>
      <c r="F136" s="8"/>
      <c r="G136" s="9"/>
    </row>
    <row r="137" spans="1:7" x14ac:dyDescent="0.25">
      <c r="A137" s="12" t="s">
        <v>88</v>
      </c>
      <c r="B137" s="13">
        <f>100*(D137/C137)</f>
        <v>100</v>
      </c>
      <c r="C137" s="44">
        <v>10</v>
      </c>
      <c r="D137" s="44">
        <v>10</v>
      </c>
      <c r="E137" s="11"/>
      <c r="F137" s="17"/>
      <c r="G137" s="18"/>
    </row>
    <row r="138" spans="1:7" x14ac:dyDescent="0.25">
      <c r="A138" s="12" t="s">
        <v>89</v>
      </c>
      <c r="B138" s="13">
        <f t="shared" ref="B138:B139" si="0">100*(D138/C138)</f>
        <v>100</v>
      </c>
      <c r="C138" s="45">
        <v>4</v>
      </c>
      <c r="D138" s="45">
        <v>4</v>
      </c>
      <c r="E138" s="12"/>
      <c r="F138" s="10"/>
      <c r="G138" s="19"/>
    </row>
    <row r="139" spans="1:7" ht="16.5" thickBot="1" x14ac:dyDescent="0.3">
      <c r="A139" s="14" t="s">
        <v>90</v>
      </c>
      <c r="B139" s="13">
        <f t="shared" si="0"/>
        <v>0</v>
      </c>
      <c r="C139" s="46">
        <v>4</v>
      </c>
      <c r="D139" s="46">
        <v>0</v>
      </c>
      <c r="E139" s="14"/>
      <c r="F139" s="20"/>
      <c r="G139" s="21"/>
    </row>
    <row r="140" spans="1:7" x14ac:dyDescent="0.25">
      <c r="A140" s="37" t="s">
        <v>83</v>
      </c>
      <c r="B140" s="38" t="s">
        <v>33</v>
      </c>
      <c r="C140" s="42" t="s">
        <v>111</v>
      </c>
      <c r="D140" s="42" t="s">
        <v>110</v>
      </c>
      <c r="E140" s="4"/>
      <c r="F140" s="4"/>
      <c r="G140" s="5"/>
    </row>
    <row r="141" spans="1:7" x14ac:dyDescent="0.25">
      <c r="A141" s="12" t="s">
        <v>86</v>
      </c>
      <c r="B141" s="13" t="s">
        <v>82</v>
      </c>
      <c r="C141" s="43"/>
      <c r="D141" s="43"/>
      <c r="E141" s="6"/>
      <c r="F141" s="6"/>
      <c r="G141" s="7"/>
    </row>
    <row r="142" spans="1:7" ht="16.5" thickBot="1" x14ac:dyDescent="0.3">
      <c r="A142" s="12" t="s">
        <v>91</v>
      </c>
      <c r="B142" s="13" t="s">
        <v>5</v>
      </c>
      <c r="C142" s="43"/>
      <c r="D142" s="43"/>
      <c r="E142" s="8"/>
      <c r="F142" s="8"/>
      <c r="G142" s="9"/>
    </row>
    <row r="143" spans="1:7" x14ac:dyDescent="0.25">
      <c r="A143" s="12" t="s">
        <v>88</v>
      </c>
      <c r="B143" s="13">
        <v>75</v>
      </c>
      <c r="C143" s="44"/>
      <c r="D143" s="44"/>
      <c r="E143" s="11"/>
      <c r="F143" s="17"/>
      <c r="G143" s="18"/>
    </row>
    <row r="144" spans="1:7" x14ac:dyDescent="0.25">
      <c r="A144" s="12" t="s">
        <v>89</v>
      </c>
      <c r="B144" s="13">
        <v>20</v>
      </c>
      <c r="C144" s="45"/>
      <c r="D144" s="45"/>
      <c r="E144" s="12"/>
      <c r="F144" s="10"/>
      <c r="G144" s="19"/>
    </row>
    <row r="145" spans="1:7" ht="16.5" thickBot="1" x14ac:dyDescent="0.3">
      <c r="A145" s="14" t="s">
        <v>90</v>
      </c>
      <c r="B145" s="15">
        <v>55</v>
      </c>
      <c r="C145" s="46"/>
      <c r="D145" s="46"/>
      <c r="E145" s="14"/>
      <c r="F145" s="20"/>
      <c r="G145" s="21"/>
    </row>
    <row r="146" spans="1:7" x14ac:dyDescent="0.25">
      <c r="A146" s="37" t="s">
        <v>83</v>
      </c>
      <c r="B146" s="38" t="s">
        <v>33</v>
      </c>
      <c r="C146" s="42" t="s">
        <v>111</v>
      </c>
      <c r="D146" s="42" t="s">
        <v>110</v>
      </c>
      <c r="E146" s="4"/>
      <c r="F146" s="4"/>
      <c r="G146" s="5"/>
    </row>
    <row r="147" spans="1:7" x14ac:dyDescent="0.25">
      <c r="A147" s="12" t="s">
        <v>86</v>
      </c>
      <c r="B147" s="13" t="s">
        <v>82</v>
      </c>
      <c r="C147" s="43"/>
      <c r="D147" s="43"/>
      <c r="E147" s="6"/>
      <c r="F147" s="6"/>
      <c r="G147" s="7"/>
    </row>
    <row r="148" spans="1:7" ht="16.5" thickBot="1" x14ac:dyDescent="0.3">
      <c r="A148" s="12" t="s">
        <v>91</v>
      </c>
      <c r="B148" s="13" t="s">
        <v>11</v>
      </c>
      <c r="C148" s="43"/>
      <c r="D148" s="43"/>
      <c r="E148" s="8"/>
      <c r="F148" s="8"/>
      <c r="G148" s="9"/>
    </row>
    <row r="149" spans="1:7" x14ac:dyDescent="0.25">
      <c r="A149" s="12" t="s">
        <v>88</v>
      </c>
      <c r="B149" s="13">
        <v>75</v>
      </c>
      <c r="C149" s="44"/>
      <c r="D149" s="44"/>
      <c r="E149" s="11"/>
      <c r="F149" s="17"/>
      <c r="G149" s="18"/>
    </row>
    <row r="150" spans="1:7" x14ac:dyDescent="0.25">
      <c r="A150" s="12" t="s">
        <v>89</v>
      </c>
      <c r="B150" s="13">
        <v>20</v>
      </c>
      <c r="C150" s="45"/>
      <c r="D150" s="45"/>
      <c r="E150" s="12"/>
      <c r="F150" s="10"/>
      <c r="G150" s="19"/>
    </row>
    <row r="151" spans="1:7" ht="16.5" thickBot="1" x14ac:dyDescent="0.3">
      <c r="A151" s="14" t="s">
        <v>90</v>
      </c>
      <c r="B151" s="15">
        <v>100</v>
      </c>
      <c r="C151" s="46"/>
      <c r="D151" s="46"/>
      <c r="E151" s="14"/>
      <c r="F151" s="20"/>
      <c r="G151" s="21"/>
    </row>
    <row r="152" spans="1:7" x14ac:dyDescent="0.25">
      <c r="A152" s="37" t="s">
        <v>83</v>
      </c>
      <c r="B152" s="38" t="s">
        <v>33</v>
      </c>
      <c r="C152" s="42" t="s">
        <v>111</v>
      </c>
      <c r="D152" s="42" t="s">
        <v>110</v>
      </c>
      <c r="E152" s="4"/>
      <c r="F152" s="4"/>
      <c r="G152" s="5"/>
    </row>
    <row r="153" spans="1:7" x14ac:dyDescent="0.25">
      <c r="A153" s="12" t="s">
        <v>86</v>
      </c>
      <c r="B153" s="13" t="s">
        <v>82</v>
      </c>
      <c r="C153" s="43"/>
      <c r="D153" s="43"/>
      <c r="E153" s="6"/>
      <c r="F153" s="6"/>
      <c r="G153" s="7"/>
    </row>
    <row r="154" spans="1:7" ht="16.5" thickBot="1" x14ac:dyDescent="0.3">
      <c r="A154" s="12" t="s">
        <v>91</v>
      </c>
      <c r="B154" s="13" t="s">
        <v>12</v>
      </c>
      <c r="C154" s="43"/>
      <c r="D154" s="43"/>
      <c r="E154" s="8"/>
      <c r="F154" s="8"/>
      <c r="G154" s="9"/>
    </row>
    <row r="155" spans="1:7" x14ac:dyDescent="0.25">
      <c r="A155" s="12" t="s">
        <v>88</v>
      </c>
      <c r="B155" s="180">
        <f>100*(D155/C155)</f>
        <v>39.447236180904518</v>
      </c>
      <c r="C155" s="78">
        <f>[1]MAIN!$C$3</f>
        <v>398</v>
      </c>
      <c r="D155" s="78">
        <f>[1]MAIN!$D$3</f>
        <v>157</v>
      </c>
      <c r="E155" s="77"/>
      <c r="F155" s="17"/>
      <c r="G155" s="18"/>
    </row>
    <row r="156" spans="1:7" x14ac:dyDescent="0.25">
      <c r="A156" s="12" t="s">
        <v>89</v>
      </c>
      <c r="B156" s="180">
        <f>100*(D156/C156)</f>
        <v>53.846153846153847</v>
      </c>
      <c r="C156" s="78">
        <f>SUM([1]MAIN!$H$3,[1]MAIN!$J$3,[1]MAIN!$L$3,[1]MAIN!$N$3)</f>
        <v>26</v>
      </c>
      <c r="D156" s="78">
        <f>SUM([1]MAIN!$I$3,[1]MAIN!$K$3,[1]MAIN!$M$3,[1]MAIN!$O$3)</f>
        <v>14</v>
      </c>
      <c r="E156" s="79"/>
      <c r="F156" s="10"/>
      <c r="G156" s="19"/>
    </row>
    <row r="157" spans="1:7" ht="16.5" thickBot="1" x14ac:dyDescent="0.3">
      <c r="A157" s="14" t="s">
        <v>90</v>
      </c>
      <c r="B157" s="180">
        <f>100*(D157/C157)</f>
        <v>53.846153846153847</v>
      </c>
      <c r="C157" s="78">
        <f>SUM([1]MAIN!$H$12,[1]MAIN!$J$12,[1]MAIN!$L$12,[1]MAIN!$N$12)</f>
        <v>26</v>
      </c>
      <c r="D157" s="78">
        <f>SUM([1]MAIN!$I$12,[1]MAIN!$K$12,[1]MAIN!$M$12,[1]MAIN!$O$12)</f>
        <v>14</v>
      </c>
      <c r="E157" s="80"/>
      <c r="F157" s="20"/>
      <c r="G157" s="21"/>
    </row>
    <row r="158" spans="1:7" x14ac:dyDescent="0.25">
      <c r="A158" s="37" t="s">
        <v>83</v>
      </c>
      <c r="B158" s="38" t="s">
        <v>33</v>
      </c>
      <c r="C158" s="81" t="s">
        <v>111</v>
      </c>
      <c r="D158" s="81" t="s">
        <v>110</v>
      </c>
      <c r="E158" s="4"/>
      <c r="F158" s="4"/>
      <c r="G158" s="5"/>
    </row>
    <row r="159" spans="1:7" x14ac:dyDescent="0.25">
      <c r="A159" s="12" t="s">
        <v>86</v>
      </c>
      <c r="B159" s="13" t="s">
        <v>82</v>
      </c>
      <c r="C159" s="43"/>
      <c r="D159" s="43"/>
      <c r="E159" s="6"/>
      <c r="F159" s="6"/>
      <c r="G159" s="7"/>
    </row>
    <row r="160" spans="1:7" ht="16.5" thickBot="1" x14ac:dyDescent="0.3">
      <c r="A160" s="12" t="s">
        <v>91</v>
      </c>
      <c r="B160" s="13" t="s">
        <v>13</v>
      </c>
      <c r="C160" s="43"/>
      <c r="D160" s="43"/>
      <c r="E160" s="8"/>
      <c r="F160" s="8"/>
      <c r="G160" s="9"/>
    </row>
    <row r="161" spans="1:7" x14ac:dyDescent="0.25">
      <c r="A161" s="12" t="s">
        <v>88</v>
      </c>
      <c r="B161" s="13">
        <v>75</v>
      </c>
      <c r="C161" s="44"/>
      <c r="D161" s="44"/>
      <c r="E161" s="11"/>
      <c r="F161" s="17"/>
      <c r="G161" s="18"/>
    </row>
    <row r="162" spans="1:7" x14ac:dyDescent="0.25">
      <c r="A162" s="12" t="s">
        <v>89</v>
      </c>
      <c r="B162" s="13">
        <v>20</v>
      </c>
      <c r="C162" s="45"/>
      <c r="D162" s="45"/>
      <c r="E162" s="12"/>
      <c r="F162" s="10"/>
      <c r="G162" s="19"/>
    </row>
    <row r="163" spans="1:7" ht="16.5" thickBot="1" x14ac:dyDescent="0.3">
      <c r="A163" s="14" t="s">
        <v>90</v>
      </c>
      <c r="B163" s="15">
        <v>55</v>
      </c>
      <c r="C163" s="46"/>
      <c r="D163" s="46"/>
      <c r="E163" s="14"/>
      <c r="F163" s="20"/>
      <c r="G163" s="21"/>
    </row>
    <row r="164" spans="1:7" x14ac:dyDescent="0.25">
      <c r="A164" s="37" t="s">
        <v>83</v>
      </c>
      <c r="B164" s="38" t="s">
        <v>33</v>
      </c>
      <c r="C164" s="42" t="s">
        <v>111</v>
      </c>
      <c r="D164" s="42" t="s">
        <v>110</v>
      </c>
      <c r="E164" s="4"/>
      <c r="F164" s="4"/>
      <c r="G164" s="5"/>
    </row>
    <row r="165" spans="1:7" x14ac:dyDescent="0.25">
      <c r="A165" s="12" t="s">
        <v>86</v>
      </c>
      <c r="B165" s="13" t="s">
        <v>82</v>
      </c>
      <c r="C165" s="43"/>
      <c r="D165" s="43"/>
      <c r="E165" s="6"/>
      <c r="F165" s="6"/>
      <c r="G165" s="7"/>
    </row>
    <row r="166" spans="1:7" ht="16.5" thickBot="1" x14ac:dyDescent="0.3">
      <c r="A166" s="12" t="s">
        <v>91</v>
      </c>
      <c r="B166" s="13" t="s">
        <v>14</v>
      </c>
      <c r="C166" s="43"/>
      <c r="D166" s="43"/>
      <c r="E166" s="8"/>
      <c r="F166" s="8"/>
      <c r="G166" s="9"/>
    </row>
    <row r="167" spans="1:7" x14ac:dyDescent="0.25">
      <c r="A167" s="12" t="s">
        <v>88</v>
      </c>
      <c r="B167" s="13">
        <v>75</v>
      </c>
      <c r="C167" s="44"/>
      <c r="D167" s="44"/>
      <c r="E167" s="11"/>
      <c r="F167" s="17"/>
      <c r="G167" s="18"/>
    </row>
    <row r="168" spans="1:7" x14ac:dyDescent="0.25">
      <c r="A168" s="12" t="s">
        <v>89</v>
      </c>
      <c r="B168" s="13">
        <v>20</v>
      </c>
      <c r="C168" s="45"/>
      <c r="D168" s="45"/>
      <c r="E168" s="12"/>
      <c r="F168" s="10"/>
      <c r="G168" s="19"/>
    </row>
    <row r="169" spans="1:7" ht="16.5" thickBot="1" x14ac:dyDescent="0.3">
      <c r="A169" s="14" t="s">
        <v>90</v>
      </c>
      <c r="B169" s="15">
        <v>55</v>
      </c>
      <c r="C169" s="46"/>
      <c r="D169" s="46"/>
      <c r="E169" s="14"/>
      <c r="F169" s="20"/>
      <c r="G169" s="21"/>
    </row>
    <row r="170" spans="1:7" x14ac:dyDescent="0.25">
      <c r="A170" s="37" t="s">
        <v>83</v>
      </c>
      <c r="B170" s="38" t="s">
        <v>33</v>
      </c>
      <c r="C170" s="42" t="s">
        <v>111</v>
      </c>
      <c r="D170" s="42" t="s">
        <v>110</v>
      </c>
      <c r="E170" s="4"/>
      <c r="F170" s="4"/>
      <c r="G170" s="5"/>
    </row>
    <row r="171" spans="1:7" x14ac:dyDescent="0.25">
      <c r="A171" s="12" t="s">
        <v>86</v>
      </c>
      <c r="B171" s="13" t="s">
        <v>82</v>
      </c>
      <c r="C171" s="43"/>
      <c r="D171" s="43"/>
      <c r="E171" s="6"/>
      <c r="F171" s="6"/>
      <c r="G171" s="7"/>
    </row>
    <row r="172" spans="1:7" ht="16.5" thickBot="1" x14ac:dyDescent="0.3">
      <c r="A172" s="12" t="s">
        <v>91</v>
      </c>
      <c r="B172" s="13" t="s">
        <v>17</v>
      </c>
      <c r="C172" s="43"/>
      <c r="D172" s="43"/>
      <c r="E172" s="8"/>
      <c r="F172" s="8"/>
      <c r="G172" s="9"/>
    </row>
    <row r="173" spans="1:7" x14ac:dyDescent="0.25">
      <c r="A173" s="12" t="s">
        <v>88</v>
      </c>
      <c r="B173" s="13">
        <v>75</v>
      </c>
      <c r="C173" s="44"/>
      <c r="D173" s="44"/>
      <c r="E173" s="11"/>
      <c r="F173" s="17"/>
      <c r="G173" s="18"/>
    </row>
    <row r="174" spans="1:7" x14ac:dyDescent="0.25">
      <c r="A174" s="12" t="s">
        <v>89</v>
      </c>
      <c r="B174" s="13">
        <v>20</v>
      </c>
      <c r="C174" s="45"/>
      <c r="D174" s="45"/>
      <c r="E174" s="12"/>
      <c r="F174" s="10"/>
      <c r="G174" s="19"/>
    </row>
    <row r="175" spans="1:7" ht="16.5" thickBot="1" x14ac:dyDescent="0.3">
      <c r="A175" s="14" t="s">
        <v>90</v>
      </c>
      <c r="B175" s="15">
        <v>55</v>
      </c>
      <c r="C175" s="46"/>
      <c r="D175" s="46"/>
      <c r="E175" s="14"/>
      <c r="F175" s="20"/>
      <c r="G175" s="21"/>
    </row>
    <row r="176" spans="1:7" x14ac:dyDescent="0.25">
      <c r="A176" s="37" t="s">
        <v>83</v>
      </c>
      <c r="B176" s="38" t="s">
        <v>33</v>
      </c>
      <c r="C176" s="42" t="s">
        <v>111</v>
      </c>
      <c r="D176" s="42" t="s">
        <v>110</v>
      </c>
      <c r="E176" s="4"/>
      <c r="F176" s="4"/>
      <c r="G176" s="5"/>
    </row>
    <row r="177" spans="1:7" x14ac:dyDescent="0.25">
      <c r="A177" s="12" t="s">
        <v>86</v>
      </c>
      <c r="B177" s="13" t="s">
        <v>82</v>
      </c>
      <c r="C177" s="43"/>
      <c r="D177" s="43"/>
      <c r="E177" s="6"/>
      <c r="F177" s="6"/>
      <c r="G177" s="7"/>
    </row>
    <row r="178" spans="1:7" ht="16.5" thickBot="1" x14ac:dyDescent="0.3">
      <c r="A178" s="12" t="s">
        <v>91</v>
      </c>
      <c r="B178" s="13" t="s">
        <v>18</v>
      </c>
      <c r="C178" s="43"/>
      <c r="D178" s="43"/>
      <c r="E178" s="8"/>
      <c r="F178" s="8"/>
      <c r="G178" s="9"/>
    </row>
    <row r="179" spans="1:7" x14ac:dyDescent="0.25">
      <c r="A179" s="12" t="s">
        <v>88</v>
      </c>
      <c r="B179" s="13">
        <v>75</v>
      </c>
      <c r="C179" s="44"/>
      <c r="D179" s="44"/>
      <c r="E179" s="11"/>
      <c r="F179" s="17"/>
      <c r="G179" s="18"/>
    </row>
    <row r="180" spans="1:7" x14ac:dyDescent="0.25">
      <c r="A180" s="12" t="s">
        <v>89</v>
      </c>
      <c r="B180" s="13">
        <v>20</v>
      </c>
      <c r="C180" s="45"/>
      <c r="D180" s="45"/>
      <c r="E180" s="12"/>
      <c r="F180" s="10"/>
      <c r="G180" s="19"/>
    </row>
    <row r="181" spans="1:7" ht="16.5" thickBot="1" x14ac:dyDescent="0.3">
      <c r="A181" s="14" t="s">
        <v>90</v>
      </c>
      <c r="B181" s="15">
        <v>55</v>
      </c>
      <c r="C181" s="46"/>
      <c r="D181" s="46"/>
      <c r="E181" s="14"/>
      <c r="F181" s="20"/>
      <c r="G181" s="21"/>
    </row>
    <row r="182" spans="1:7" x14ac:dyDescent="0.25">
      <c r="A182" s="37" t="s">
        <v>83</v>
      </c>
      <c r="B182" s="38" t="s">
        <v>33</v>
      </c>
      <c r="C182" s="42" t="s">
        <v>111</v>
      </c>
      <c r="D182" s="42" t="s">
        <v>110</v>
      </c>
      <c r="E182" s="4"/>
      <c r="F182" s="4"/>
      <c r="G182" s="5"/>
    </row>
    <row r="183" spans="1:7" x14ac:dyDescent="0.25">
      <c r="A183" s="12" t="s">
        <v>86</v>
      </c>
      <c r="B183" s="13" t="s">
        <v>82</v>
      </c>
      <c r="C183" s="43"/>
      <c r="D183" s="43"/>
      <c r="E183" s="6"/>
      <c r="F183" s="6"/>
      <c r="G183" s="7"/>
    </row>
    <row r="184" spans="1:7" ht="16.5" thickBot="1" x14ac:dyDescent="0.3">
      <c r="A184" s="12" t="s">
        <v>91</v>
      </c>
      <c r="B184" s="13" t="s">
        <v>19</v>
      </c>
      <c r="C184" s="43"/>
      <c r="D184" s="43"/>
      <c r="E184" s="8"/>
      <c r="F184" s="8"/>
      <c r="G184" s="9"/>
    </row>
    <row r="185" spans="1:7" x14ac:dyDescent="0.25">
      <c r="A185" s="12" t="s">
        <v>88</v>
      </c>
      <c r="B185" s="13">
        <v>75</v>
      </c>
      <c r="C185" s="44"/>
      <c r="D185" s="44"/>
      <c r="E185" s="11"/>
      <c r="F185" s="17"/>
      <c r="G185" s="18"/>
    </row>
    <row r="186" spans="1:7" x14ac:dyDescent="0.25">
      <c r="A186" s="12" t="s">
        <v>89</v>
      </c>
      <c r="B186" s="13">
        <v>20</v>
      </c>
      <c r="C186" s="45"/>
      <c r="D186" s="45"/>
      <c r="E186" s="12"/>
      <c r="F186" s="10"/>
      <c r="G186" s="19"/>
    </row>
    <row r="187" spans="1:7" ht="16.5" thickBot="1" x14ac:dyDescent="0.3">
      <c r="A187" s="14" t="s">
        <v>90</v>
      </c>
      <c r="B187" s="15">
        <v>55</v>
      </c>
      <c r="C187" s="46"/>
      <c r="D187" s="46"/>
      <c r="E187" s="14"/>
      <c r="F187" s="20"/>
      <c r="G187" s="21"/>
    </row>
    <row r="188" spans="1:7" x14ac:dyDescent="0.25">
      <c r="A188" s="37" t="s">
        <v>83</v>
      </c>
      <c r="B188" s="38" t="s">
        <v>33</v>
      </c>
      <c r="C188" s="42" t="s">
        <v>111</v>
      </c>
      <c r="D188" s="42" t="s">
        <v>110</v>
      </c>
      <c r="E188" s="4"/>
      <c r="F188" s="4"/>
      <c r="G188" s="5"/>
    </row>
    <row r="189" spans="1:7" x14ac:dyDescent="0.25">
      <c r="A189" s="12" t="s">
        <v>86</v>
      </c>
      <c r="B189" s="13" t="s">
        <v>82</v>
      </c>
      <c r="C189" s="43"/>
      <c r="D189" s="43"/>
      <c r="E189" s="6"/>
      <c r="F189" s="6"/>
      <c r="G189" s="7"/>
    </row>
    <row r="190" spans="1:7" ht="16.5" thickBot="1" x14ac:dyDescent="0.3">
      <c r="A190" s="12" t="s">
        <v>91</v>
      </c>
      <c r="B190" s="13" t="s">
        <v>20</v>
      </c>
      <c r="C190" s="43"/>
      <c r="D190" s="43"/>
      <c r="E190" s="8"/>
      <c r="F190" s="8"/>
      <c r="G190" s="9"/>
    </row>
    <row r="191" spans="1:7" x14ac:dyDescent="0.25">
      <c r="A191" s="12" t="s">
        <v>88</v>
      </c>
      <c r="B191" s="13">
        <v>75</v>
      </c>
      <c r="C191" s="44"/>
      <c r="D191" s="44"/>
      <c r="E191" s="11"/>
      <c r="F191" s="17"/>
      <c r="G191" s="18"/>
    </row>
    <row r="192" spans="1:7" x14ac:dyDescent="0.25">
      <c r="A192" s="12" t="s">
        <v>89</v>
      </c>
      <c r="B192" s="13">
        <v>20</v>
      </c>
      <c r="C192" s="45"/>
      <c r="D192" s="45"/>
      <c r="E192" s="12"/>
      <c r="F192" s="10"/>
      <c r="G192" s="19"/>
    </row>
    <row r="193" spans="1:7" ht="16.5" thickBot="1" x14ac:dyDescent="0.3">
      <c r="A193" s="14" t="s">
        <v>90</v>
      </c>
      <c r="B193" s="15">
        <v>55</v>
      </c>
      <c r="C193" s="46"/>
      <c r="D193" s="46"/>
      <c r="E193" s="14"/>
      <c r="F193" s="20"/>
      <c r="G193" s="21"/>
    </row>
    <row r="194" spans="1:7" x14ac:dyDescent="0.25">
      <c r="A194" s="37" t="s">
        <v>83</v>
      </c>
      <c r="B194" s="38" t="s">
        <v>33</v>
      </c>
      <c r="C194" s="42" t="s">
        <v>111</v>
      </c>
      <c r="D194" s="42" t="s">
        <v>110</v>
      </c>
      <c r="E194" s="4"/>
      <c r="F194" s="4"/>
      <c r="G194" s="5"/>
    </row>
    <row r="195" spans="1:7" x14ac:dyDescent="0.25">
      <c r="A195" s="12" t="s">
        <v>86</v>
      </c>
      <c r="B195" s="13" t="s">
        <v>82</v>
      </c>
      <c r="C195" s="43"/>
      <c r="D195" s="43"/>
      <c r="E195" s="6"/>
      <c r="F195" s="6"/>
      <c r="G195" s="7"/>
    </row>
    <row r="196" spans="1:7" ht="16.5" thickBot="1" x14ac:dyDescent="0.3">
      <c r="A196" s="12" t="s">
        <v>91</v>
      </c>
      <c r="B196" s="13" t="s">
        <v>26</v>
      </c>
      <c r="C196" s="43"/>
      <c r="D196" s="43"/>
      <c r="E196" s="8"/>
      <c r="F196" s="8"/>
      <c r="G196" s="9"/>
    </row>
    <row r="197" spans="1:7" x14ac:dyDescent="0.25">
      <c r="A197" s="12" t="s">
        <v>88</v>
      </c>
      <c r="B197" s="13">
        <v>75</v>
      </c>
      <c r="C197" s="44"/>
      <c r="D197" s="44"/>
      <c r="E197" s="11"/>
      <c r="F197" s="17"/>
      <c r="G197" s="18"/>
    </row>
    <row r="198" spans="1:7" x14ac:dyDescent="0.25">
      <c r="A198" s="12" t="s">
        <v>89</v>
      </c>
      <c r="B198" s="13">
        <v>20</v>
      </c>
      <c r="C198" s="45"/>
      <c r="D198" s="45"/>
      <c r="E198" s="12"/>
      <c r="F198" s="10"/>
      <c r="G198" s="19"/>
    </row>
    <row r="199" spans="1:7" ht="16.5" thickBot="1" x14ac:dyDescent="0.3">
      <c r="A199" s="14" t="s">
        <v>90</v>
      </c>
      <c r="B199" s="15">
        <v>55</v>
      </c>
      <c r="C199" s="46"/>
      <c r="D199" s="46"/>
      <c r="E199" s="14"/>
      <c r="F199" s="20"/>
      <c r="G199" s="21"/>
    </row>
    <row r="200" spans="1:7" x14ac:dyDescent="0.25">
      <c r="A200" s="37" t="s">
        <v>83</v>
      </c>
      <c r="B200" s="38" t="s">
        <v>106</v>
      </c>
      <c r="C200" s="42" t="s">
        <v>111</v>
      </c>
      <c r="D200" s="42" t="s">
        <v>110</v>
      </c>
      <c r="E200" s="4"/>
      <c r="F200" s="4"/>
      <c r="G200" s="5"/>
    </row>
    <row r="201" spans="1:7" x14ac:dyDescent="0.25">
      <c r="A201" s="12" t="s">
        <v>86</v>
      </c>
      <c r="B201" s="13"/>
      <c r="C201" s="43"/>
      <c r="D201" s="43"/>
      <c r="E201" s="6"/>
      <c r="F201" s="6"/>
      <c r="G201" s="7"/>
    </row>
    <row r="202" spans="1:7" ht="16.5" thickBot="1" x14ac:dyDescent="0.3">
      <c r="A202" s="12" t="s">
        <v>91</v>
      </c>
      <c r="B202" s="13" t="s">
        <v>10</v>
      </c>
      <c r="C202" s="43"/>
      <c r="D202" s="43"/>
      <c r="E202" s="8"/>
      <c r="F202" s="8"/>
      <c r="G202" s="9"/>
    </row>
    <row r="203" spans="1:7" x14ac:dyDescent="0.25">
      <c r="A203" s="12" t="s">
        <v>88</v>
      </c>
      <c r="B203" s="13">
        <v>75</v>
      </c>
      <c r="C203" s="44"/>
      <c r="D203" s="44"/>
      <c r="E203" s="11"/>
      <c r="F203" s="17"/>
      <c r="G203" s="18"/>
    </row>
    <row r="204" spans="1:7" x14ac:dyDescent="0.25">
      <c r="A204" s="12" t="s">
        <v>89</v>
      </c>
      <c r="B204" s="13">
        <v>20</v>
      </c>
      <c r="C204" s="45"/>
      <c r="D204" s="45"/>
      <c r="E204" s="12"/>
      <c r="F204" s="10"/>
      <c r="G204" s="19"/>
    </row>
    <row r="205" spans="1:7" ht="16.5" thickBot="1" x14ac:dyDescent="0.3">
      <c r="A205" s="14" t="s">
        <v>90</v>
      </c>
      <c r="B205" s="15">
        <v>55</v>
      </c>
      <c r="C205" s="46"/>
      <c r="D205" s="46"/>
      <c r="E205" s="14"/>
      <c r="F205" s="20"/>
      <c r="G205" s="21"/>
    </row>
    <row r="206" spans="1:7" x14ac:dyDescent="0.25">
      <c r="A206" s="37" t="s">
        <v>83</v>
      </c>
      <c r="B206" s="38" t="s">
        <v>64</v>
      </c>
      <c r="C206" s="42" t="s">
        <v>111</v>
      </c>
      <c r="D206" s="42" t="s">
        <v>110</v>
      </c>
      <c r="E206" s="4"/>
      <c r="F206" s="4"/>
      <c r="G206" s="5"/>
    </row>
    <row r="207" spans="1:7" x14ac:dyDescent="0.25">
      <c r="A207" s="12" t="s">
        <v>86</v>
      </c>
      <c r="B207" s="13"/>
      <c r="C207" s="43"/>
      <c r="D207" s="43"/>
      <c r="E207" s="6"/>
      <c r="F207" s="6"/>
      <c r="G207" s="7"/>
    </row>
    <row r="208" spans="1:7" ht="16.5" thickBot="1" x14ac:dyDescent="0.3">
      <c r="A208" s="12" t="s">
        <v>91</v>
      </c>
      <c r="B208" s="13" t="s">
        <v>11</v>
      </c>
      <c r="C208" s="43"/>
      <c r="D208" s="43"/>
      <c r="E208" s="8"/>
      <c r="F208" s="8"/>
      <c r="G208" s="9"/>
    </row>
    <row r="209" spans="1:7" x14ac:dyDescent="0.25">
      <c r="A209" s="12" t="s">
        <v>88</v>
      </c>
      <c r="B209" s="13">
        <v>75</v>
      </c>
      <c r="C209" s="44"/>
      <c r="D209" s="44"/>
      <c r="E209" s="11"/>
      <c r="F209" s="17"/>
      <c r="G209" s="18"/>
    </row>
    <row r="210" spans="1:7" x14ac:dyDescent="0.25">
      <c r="A210" s="12" t="s">
        <v>89</v>
      </c>
      <c r="B210" s="13">
        <v>20</v>
      </c>
      <c r="C210" s="45"/>
      <c r="D210" s="45"/>
      <c r="E210" s="12"/>
      <c r="F210" s="10"/>
      <c r="G210" s="19"/>
    </row>
    <row r="211" spans="1:7" ht="16.5" thickBot="1" x14ac:dyDescent="0.3">
      <c r="A211" s="14" t="s">
        <v>90</v>
      </c>
      <c r="B211" s="15">
        <v>55</v>
      </c>
      <c r="C211" s="46"/>
      <c r="D211" s="46"/>
      <c r="E211" s="14"/>
      <c r="F211" s="20"/>
      <c r="G211" s="21"/>
    </row>
    <row r="212" spans="1:7" x14ac:dyDescent="0.25">
      <c r="A212" s="37" t="s">
        <v>83</v>
      </c>
      <c r="B212" s="38" t="s">
        <v>64</v>
      </c>
      <c r="C212" s="42" t="s">
        <v>111</v>
      </c>
      <c r="D212" s="42" t="s">
        <v>110</v>
      </c>
      <c r="E212" s="4"/>
      <c r="F212" s="4"/>
      <c r="G212" s="5"/>
    </row>
    <row r="213" spans="1:7" x14ac:dyDescent="0.25">
      <c r="A213" s="12" t="s">
        <v>86</v>
      </c>
      <c r="B213" s="13"/>
      <c r="C213" s="43"/>
      <c r="D213" s="43"/>
      <c r="E213" s="6"/>
      <c r="F213" s="6"/>
      <c r="G213" s="7"/>
    </row>
    <row r="214" spans="1:7" ht="16.5" thickBot="1" x14ac:dyDescent="0.3">
      <c r="A214" s="12" t="s">
        <v>91</v>
      </c>
      <c r="B214" s="13" t="s">
        <v>26</v>
      </c>
      <c r="C214" s="43"/>
      <c r="D214" s="43"/>
      <c r="E214" s="8"/>
      <c r="F214" s="8"/>
      <c r="G214" s="9"/>
    </row>
    <row r="215" spans="1:7" x14ac:dyDescent="0.25">
      <c r="A215" s="12" t="s">
        <v>88</v>
      </c>
      <c r="B215" s="13">
        <v>75</v>
      </c>
      <c r="C215" s="44"/>
      <c r="D215" s="44"/>
      <c r="E215" s="11"/>
      <c r="F215" s="17"/>
      <c r="G215" s="18"/>
    </row>
    <row r="216" spans="1:7" x14ac:dyDescent="0.25">
      <c r="A216" s="12" t="s">
        <v>89</v>
      </c>
      <c r="B216" s="13">
        <v>20</v>
      </c>
      <c r="C216" s="45"/>
      <c r="D216" s="45"/>
      <c r="E216" s="12"/>
      <c r="F216" s="10"/>
      <c r="G216" s="19"/>
    </row>
    <row r="217" spans="1:7" ht="16.5" thickBot="1" x14ac:dyDescent="0.3">
      <c r="A217" s="14" t="s">
        <v>90</v>
      </c>
      <c r="B217" s="15">
        <v>55</v>
      </c>
      <c r="C217" s="46"/>
      <c r="D217" s="46"/>
      <c r="E217" s="14"/>
      <c r="F217" s="20"/>
      <c r="G217" s="21"/>
    </row>
    <row r="218" spans="1:7" x14ac:dyDescent="0.25">
      <c r="A218" s="37" t="s">
        <v>83</v>
      </c>
      <c r="B218" s="38" t="s">
        <v>108</v>
      </c>
      <c r="C218" s="42" t="s">
        <v>111</v>
      </c>
      <c r="D218" s="42" t="s">
        <v>110</v>
      </c>
      <c r="E218" s="4"/>
      <c r="F218" s="4"/>
      <c r="G218" s="5"/>
    </row>
    <row r="219" spans="1:7" x14ac:dyDescent="0.25">
      <c r="A219" s="12" t="s">
        <v>86</v>
      </c>
      <c r="B219" s="13"/>
      <c r="C219" s="43"/>
      <c r="D219" s="43"/>
      <c r="E219" s="6"/>
      <c r="F219" s="6"/>
      <c r="G219" s="7"/>
    </row>
    <row r="220" spans="1:7" ht="16.5" thickBot="1" x14ac:dyDescent="0.3">
      <c r="A220" s="12" t="s">
        <v>91</v>
      </c>
      <c r="B220" s="13" t="s">
        <v>14</v>
      </c>
      <c r="C220" s="43"/>
      <c r="D220" s="43"/>
      <c r="E220" s="8"/>
      <c r="F220" s="8"/>
      <c r="G220" s="9"/>
    </row>
    <row r="221" spans="1:7" x14ac:dyDescent="0.25">
      <c r="A221" s="12" t="s">
        <v>88</v>
      </c>
      <c r="B221" s="13">
        <v>75</v>
      </c>
      <c r="C221" s="44"/>
      <c r="D221" s="44"/>
      <c r="E221" s="11"/>
      <c r="F221" s="17"/>
      <c r="G221" s="18"/>
    </row>
    <row r="222" spans="1:7" x14ac:dyDescent="0.25">
      <c r="A222" s="12" t="s">
        <v>89</v>
      </c>
      <c r="B222" s="13">
        <v>20</v>
      </c>
      <c r="C222" s="45"/>
      <c r="D222" s="45"/>
      <c r="E222" s="12"/>
      <c r="F222" s="10"/>
      <c r="G222" s="19"/>
    </row>
    <row r="223" spans="1:7" ht="16.5" thickBot="1" x14ac:dyDescent="0.3">
      <c r="A223" s="14" t="s">
        <v>90</v>
      </c>
      <c r="B223" s="15">
        <v>55</v>
      </c>
      <c r="C223" s="46"/>
      <c r="D223" s="46"/>
      <c r="E223" s="14"/>
      <c r="F223" s="20"/>
      <c r="G223" s="21"/>
    </row>
    <row r="224" spans="1:7" x14ac:dyDescent="0.25">
      <c r="A224" s="37" t="s">
        <v>83</v>
      </c>
      <c r="B224" s="38" t="s">
        <v>108</v>
      </c>
      <c r="C224" s="42" t="s">
        <v>111</v>
      </c>
      <c r="D224" s="42" t="s">
        <v>110</v>
      </c>
      <c r="E224" s="4"/>
      <c r="F224" s="4"/>
      <c r="G224" s="5"/>
    </row>
    <row r="225" spans="1:7" x14ac:dyDescent="0.25">
      <c r="A225" s="12" t="s">
        <v>86</v>
      </c>
      <c r="B225" s="13"/>
      <c r="C225" s="43"/>
      <c r="D225" s="43"/>
      <c r="E225" s="6"/>
      <c r="F225" s="6"/>
      <c r="G225" s="7"/>
    </row>
    <row r="226" spans="1:7" ht="16.5" thickBot="1" x14ac:dyDescent="0.3">
      <c r="A226" s="12" t="s">
        <v>91</v>
      </c>
      <c r="B226" s="13" t="s">
        <v>19</v>
      </c>
      <c r="C226" s="43"/>
      <c r="D226" s="43"/>
      <c r="E226" s="8"/>
      <c r="F226" s="8"/>
      <c r="G226" s="9"/>
    </row>
    <row r="227" spans="1:7" x14ac:dyDescent="0.25">
      <c r="A227" s="12" t="s">
        <v>88</v>
      </c>
      <c r="B227" s="13">
        <v>75</v>
      </c>
      <c r="C227" s="44"/>
      <c r="D227" s="44"/>
      <c r="E227" s="11"/>
      <c r="F227" s="17"/>
      <c r="G227" s="18"/>
    </row>
    <row r="228" spans="1:7" x14ac:dyDescent="0.25">
      <c r="A228" s="12" t="s">
        <v>89</v>
      </c>
      <c r="B228" s="13">
        <v>20</v>
      </c>
      <c r="C228" s="45"/>
      <c r="D228" s="45"/>
      <c r="E228" s="12"/>
      <c r="F228" s="10"/>
      <c r="G228" s="19"/>
    </row>
    <row r="229" spans="1:7" ht="16.5" thickBot="1" x14ac:dyDescent="0.3">
      <c r="A229" s="14" t="s">
        <v>90</v>
      </c>
      <c r="B229" s="15">
        <v>55</v>
      </c>
      <c r="C229" s="46"/>
      <c r="D229" s="46"/>
      <c r="E229" s="14"/>
      <c r="F229" s="20"/>
      <c r="G229" s="21"/>
    </row>
    <row r="230" spans="1:7" x14ac:dyDescent="0.25">
      <c r="A230" s="37" t="s">
        <v>83</v>
      </c>
      <c r="B230" s="38" t="s">
        <v>108</v>
      </c>
      <c r="C230" s="42" t="s">
        <v>111</v>
      </c>
      <c r="D230" s="42" t="s">
        <v>110</v>
      </c>
      <c r="E230" s="4"/>
      <c r="F230" s="4"/>
      <c r="G230" s="5"/>
    </row>
    <row r="231" spans="1:7" x14ac:dyDescent="0.25">
      <c r="A231" s="12" t="s">
        <v>86</v>
      </c>
      <c r="B231" s="13"/>
      <c r="C231" s="43"/>
      <c r="D231" s="43"/>
      <c r="E231" s="6"/>
      <c r="F231" s="6"/>
      <c r="G231" s="7"/>
    </row>
    <row r="232" spans="1:7" ht="16.5" thickBot="1" x14ac:dyDescent="0.3">
      <c r="A232" s="12" t="s">
        <v>91</v>
      </c>
      <c r="B232" s="13" t="s">
        <v>20</v>
      </c>
      <c r="C232" s="43"/>
      <c r="D232" s="43"/>
      <c r="E232" s="8"/>
      <c r="F232" s="8"/>
      <c r="G232" s="9"/>
    </row>
    <row r="233" spans="1:7" x14ac:dyDescent="0.25">
      <c r="A233" s="12" t="s">
        <v>88</v>
      </c>
      <c r="B233" s="13">
        <v>75</v>
      </c>
      <c r="C233" s="44"/>
      <c r="D233" s="44"/>
      <c r="E233" s="11"/>
      <c r="F233" s="17"/>
      <c r="G233" s="18"/>
    </row>
    <row r="234" spans="1:7" x14ac:dyDescent="0.25">
      <c r="A234" s="12" t="s">
        <v>89</v>
      </c>
      <c r="B234" s="13">
        <v>20</v>
      </c>
      <c r="C234" s="45"/>
      <c r="D234" s="45"/>
      <c r="E234" s="12"/>
      <c r="F234" s="10"/>
      <c r="G234" s="19"/>
    </row>
    <row r="235" spans="1:7" ht="16.5" thickBot="1" x14ac:dyDescent="0.3">
      <c r="A235" s="14" t="s">
        <v>90</v>
      </c>
      <c r="B235" s="15">
        <v>55</v>
      </c>
      <c r="C235" s="46"/>
      <c r="D235" s="46"/>
      <c r="E235" s="14"/>
      <c r="F235" s="20"/>
      <c r="G235" s="21"/>
    </row>
    <row r="236" spans="1:7" x14ac:dyDescent="0.25">
      <c r="A236" s="37" t="s">
        <v>83</v>
      </c>
      <c r="B236" s="38" t="s">
        <v>67</v>
      </c>
      <c r="C236" s="42" t="s">
        <v>111</v>
      </c>
      <c r="D236" s="42" t="s">
        <v>110</v>
      </c>
      <c r="E236" s="4"/>
      <c r="F236" s="4"/>
      <c r="G236" s="5"/>
    </row>
    <row r="237" spans="1:7" x14ac:dyDescent="0.25">
      <c r="A237" s="12" t="s">
        <v>86</v>
      </c>
      <c r="B237" s="13"/>
      <c r="C237" s="43"/>
      <c r="D237" s="43"/>
      <c r="E237" s="6"/>
      <c r="F237" s="6"/>
      <c r="G237" s="7"/>
    </row>
    <row r="238" spans="1:7" ht="16.5" thickBot="1" x14ac:dyDescent="0.3">
      <c r="A238" s="12" t="s">
        <v>91</v>
      </c>
      <c r="B238" s="13" t="s">
        <v>14</v>
      </c>
      <c r="C238" s="43"/>
      <c r="D238" s="43"/>
      <c r="E238" s="8"/>
      <c r="F238" s="8"/>
      <c r="G238" s="9"/>
    </row>
    <row r="239" spans="1:7" x14ac:dyDescent="0.25">
      <c r="A239" s="12" t="s">
        <v>88</v>
      </c>
      <c r="B239" s="13">
        <v>75</v>
      </c>
      <c r="C239" s="44"/>
      <c r="D239" s="44"/>
      <c r="E239" s="11"/>
      <c r="F239" s="17"/>
      <c r="G239" s="18"/>
    </row>
    <row r="240" spans="1:7" x14ac:dyDescent="0.25">
      <c r="A240" s="12" t="s">
        <v>89</v>
      </c>
      <c r="B240" s="13">
        <v>20</v>
      </c>
      <c r="C240" s="45"/>
      <c r="D240" s="45"/>
      <c r="E240" s="12"/>
      <c r="F240" s="10"/>
      <c r="G240" s="19"/>
    </row>
    <row r="241" spans="1:7" ht="16.5" thickBot="1" x14ac:dyDescent="0.3">
      <c r="A241" s="14" t="s">
        <v>90</v>
      </c>
      <c r="B241" s="15">
        <v>55</v>
      </c>
      <c r="C241" s="46"/>
      <c r="D241" s="46"/>
      <c r="E241" s="14"/>
      <c r="F241" s="20"/>
      <c r="G241" s="21"/>
    </row>
    <row r="242" spans="1:7" x14ac:dyDescent="0.25">
      <c r="A242" s="37" t="s">
        <v>83</v>
      </c>
      <c r="B242" s="38" t="s">
        <v>67</v>
      </c>
      <c r="C242" s="42" t="s">
        <v>111</v>
      </c>
      <c r="D242" s="42" t="s">
        <v>110</v>
      </c>
      <c r="E242" s="4"/>
      <c r="F242" s="4"/>
      <c r="G242" s="5"/>
    </row>
    <row r="243" spans="1:7" x14ac:dyDescent="0.25">
      <c r="A243" s="12" t="s">
        <v>86</v>
      </c>
      <c r="B243" s="13"/>
      <c r="C243" s="43"/>
      <c r="D243" s="43"/>
      <c r="E243" s="6"/>
      <c r="F243" s="6"/>
      <c r="G243" s="7"/>
    </row>
    <row r="244" spans="1:7" ht="16.5" thickBot="1" x14ac:dyDescent="0.3">
      <c r="A244" s="12" t="s">
        <v>91</v>
      </c>
      <c r="B244" s="13" t="s">
        <v>20</v>
      </c>
      <c r="C244" s="43"/>
      <c r="D244" s="43"/>
      <c r="E244" s="8"/>
      <c r="F244" s="8"/>
      <c r="G244" s="9"/>
    </row>
    <row r="245" spans="1:7" x14ac:dyDescent="0.25">
      <c r="A245" s="12" t="s">
        <v>88</v>
      </c>
      <c r="B245" s="13">
        <v>75</v>
      </c>
      <c r="C245" s="44"/>
      <c r="D245" s="44"/>
      <c r="E245" s="11"/>
      <c r="F245" s="17"/>
      <c r="G245" s="18"/>
    </row>
    <row r="246" spans="1:7" x14ac:dyDescent="0.25">
      <c r="A246" s="12" t="s">
        <v>89</v>
      </c>
      <c r="B246" s="13">
        <v>20</v>
      </c>
      <c r="C246" s="45"/>
      <c r="D246" s="45"/>
      <c r="E246" s="12"/>
      <c r="F246" s="10"/>
      <c r="G246" s="19"/>
    </row>
    <row r="247" spans="1:7" ht="16.5" thickBot="1" x14ac:dyDescent="0.3">
      <c r="A247" s="14" t="s">
        <v>90</v>
      </c>
      <c r="B247" s="15">
        <v>55</v>
      </c>
      <c r="C247" s="46"/>
      <c r="D247" s="46"/>
      <c r="E247" s="14"/>
      <c r="F247" s="20"/>
      <c r="G247" s="21"/>
    </row>
    <row r="248" spans="1:7" x14ac:dyDescent="0.25">
      <c r="A248" s="37" t="s">
        <v>83</v>
      </c>
      <c r="B248" s="38" t="s">
        <v>109</v>
      </c>
      <c r="C248" s="42" t="s">
        <v>111</v>
      </c>
      <c r="D248" s="42" t="s">
        <v>110</v>
      </c>
      <c r="E248" s="4"/>
      <c r="F248" s="4"/>
      <c r="G248" s="5"/>
    </row>
    <row r="249" spans="1:7" x14ac:dyDescent="0.25">
      <c r="A249" s="12" t="s">
        <v>86</v>
      </c>
      <c r="B249" s="13"/>
      <c r="C249" s="43"/>
      <c r="D249" s="43"/>
      <c r="E249" s="6"/>
      <c r="F249" s="6"/>
      <c r="G249" s="7"/>
    </row>
    <row r="250" spans="1:7" ht="16.5" thickBot="1" x14ac:dyDescent="0.3">
      <c r="A250" s="12" t="s">
        <v>91</v>
      </c>
      <c r="B250" s="13" t="s">
        <v>19</v>
      </c>
      <c r="C250" s="43"/>
      <c r="D250" s="43"/>
      <c r="E250" s="8"/>
      <c r="F250" s="8"/>
      <c r="G250" s="9"/>
    </row>
    <row r="251" spans="1:7" x14ac:dyDescent="0.25">
      <c r="A251" s="12" t="s">
        <v>88</v>
      </c>
      <c r="B251" s="13">
        <v>75</v>
      </c>
      <c r="C251" s="44"/>
      <c r="D251" s="44"/>
      <c r="E251" s="11"/>
      <c r="F251" s="17"/>
      <c r="G251" s="18"/>
    </row>
    <row r="252" spans="1:7" x14ac:dyDescent="0.25">
      <c r="A252" s="12" t="s">
        <v>89</v>
      </c>
      <c r="B252" s="13">
        <v>20</v>
      </c>
      <c r="C252" s="45"/>
      <c r="D252" s="45"/>
      <c r="E252" s="12"/>
      <c r="F252" s="10"/>
      <c r="G252" s="19"/>
    </row>
    <row r="253" spans="1:7" ht="16.5" thickBot="1" x14ac:dyDescent="0.3">
      <c r="A253" s="14" t="s">
        <v>90</v>
      </c>
      <c r="B253" s="15">
        <v>55</v>
      </c>
      <c r="C253" s="46"/>
      <c r="D253" s="46"/>
      <c r="E253" s="14"/>
      <c r="F253" s="20"/>
      <c r="G253" s="21"/>
    </row>
    <row r="254" spans="1:7" x14ac:dyDescent="0.25">
      <c r="A254" s="37" t="s">
        <v>83</v>
      </c>
      <c r="B254" s="38" t="s">
        <v>109</v>
      </c>
      <c r="C254" s="42" t="s">
        <v>111</v>
      </c>
      <c r="D254" s="42" t="s">
        <v>110</v>
      </c>
      <c r="E254" s="4"/>
      <c r="F254" s="4"/>
      <c r="G254" s="5"/>
    </row>
    <row r="255" spans="1:7" x14ac:dyDescent="0.25">
      <c r="A255" s="12" t="s">
        <v>86</v>
      </c>
      <c r="B255" s="13"/>
      <c r="C255" s="43"/>
      <c r="D255" s="43"/>
      <c r="E255" s="6"/>
      <c r="F255" s="6"/>
      <c r="G255" s="7"/>
    </row>
    <row r="256" spans="1:7" ht="16.5" thickBot="1" x14ac:dyDescent="0.3">
      <c r="A256" s="12" t="s">
        <v>91</v>
      </c>
      <c r="B256" s="13" t="s">
        <v>20</v>
      </c>
      <c r="C256" s="43"/>
      <c r="D256" s="43"/>
      <c r="E256" s="8"/>
      <c r="F256" s="8"/>
      <c r="G256" s="9"/>
    </row>
    <row r="257" spans="1:7" x14ac:dyDescent="0.25">
      <c r="A257" s="12" t="s">
        <v>88</v>
      </c>
      <c r="B257" s="13">
        <v>75</v>
      </c>
      <c r="C257" s="44"/>
      <c r="D257" s="44"/>
      <c r="E257" s="11"/>
      <c r="F257" s="17"/>
      <c r="G257" s="18"/>
    </row>
    <row r="258" spans="1:7" x14ac:dyDescent="0.25">
      <c r="A258" s="12" t="s">
        <v>89</v>
      </c>
      <c r="B258" s="13">
        <v>20</v>
      </c>
      <c r="C258" s="45"/>
      <c r="D258" s="45"/>
      <c r="E258" s="12"/>
      <c r="F258" s="10"/>
      <c r="G258" s="19"/>
    </row>
    <row r="259" spans="1:7" ht="16.5" thickBot="1" x14ac:dyDescent="0.3">
      <c r="A259" s="14" t="s">
        <v>90</v>
      </c>
      <c r="B259" s="15">
        <v>55</v>
      </c>
      <c r="C259" s="46"/>
      <c r="D259" s="46"/>
      <c r="E259" s="14"/>
      <c r="F259" s="20"/>
      <c r="G259" s="21"/>
    </row>
    <row r="260" spans="1:7" x14ac:dyDescent="0.25">
      <c r="A260" s="37" t="s">
        <v>83</v>
      </c>
      <c r="B260" s="38" t="s">
        <v>109</v>
      </c>
      <c r="C260" s="42" t="s">
        <v>111</v>
      </c>
      <c r="D260" s="42" t="s">
        <v>110</v>
      </c>
      <c r="E260" s="4"/>
      <c r="F260" s="4"/>
      <c r="G260" s="5"/>
    </row>
    <row r="261" spans="1:7" x14ac:dyDescent="0.25">
      <c r="A261" s="12" t="s">
        <v>86</v>
      </c>
      <c r="B261" s="13"/>
      <c r="C261" s="43"/>
      <c r="D261" s="43"/>
      <c r="E261" s="6"/>
      <c r="F261" s="6"/>
      <c r="G261" s="7"/>
    </row>
    <row r="262" spans="1:7" ht="16.5" thickBot="1" x14ac:dyDescent="0.3">
      <c r="A262" s="12" t="s">
        <v>91</v>
      </c>
      <c r="B262" s="13" t="s">
        <v>26</v>
      </c>
      <c r="C262" s="43"/>
      <c r="D262" s="43"/>
      <c r="E262" s="8"/>
      <c r="F262" s="8"/>
      <c r="G262" s="9"/>
    </row>
    <row r="263" spans="1:7" x14ac:dyDescent="0.25">
      <c r="A263" s="12" t="s">
        <v>88</v>
      </c>
      <c r="B263" s="13">
        <v>75</v>
      </c>
      <c r="C263" s="44"/>
      <c r="D263" s="44"/>
      <c r="E263" s="11"/>
      <c r="F263" s="17"/>
      <c r="G263" s="18"/>
    </row>
    <row r="264" spans="1:7" x14ac:dyDescent="0.25">
      <c r="A264" s="12" t="s">
        <v>89</v>
      </c>
      <c r="B264" s="13">
        <v>20</v>
      </c>
      <c r="C264" s="45"/>
      <c r="D264" s="45"/>
      <c r="E264" s="12"/>
      <c r="F264" s="10"/>
      <c r="G264" s="19"/>
    </row>
    <row r="265" spans="1:7" ht="16.5" thickBot="1" x14ac:dyDescent="0.3">
      <c r="A265" s="14" t="s">
        <v>90</v>
      </c>
      <c r="B265" s="15">
        <v>55</v>
      </c>
      <c r="C265" s="46"/>
      <c r="D265" s="46"/>
      <c r="E265" s="14"/>
      <c r="F265" s="20"/>
      <c r="G265" s="21"/>
    </row>
    <row r="266" spans="1:7" x14ac:dyDescent="0.25">
      <c r="A266" s="37" t="s">
        <v>83</v>
      </c>
      <c r="B266" s="38" t="s">
        <v>74</v>
      </c>
      <c r="C266" s="42" t="s">
        <v>111</v>
      </c>
      <c r="D266" s="42" t="s">
        <v>110</v>
      </c>
      <c r="E266" s="4"/>
      <c r="F266" s="4"/>
      <c r="G266" s="5"/>
    </row>
    <row r="267" spans="1:7" x14ac:dyDescent="0.25">
      <c r="A267" s="12" t="s">
        <v>86</v>
      </c>
      <c r="B267" s="13"/>
      <c r="C267" s="43"/>
      <c r="D267" s="43"/>
      <c r="E267" s="6"/>
      <c r="F267" s="6"/>
      <c r="G267" s="7"/>
    </row>
    <row r="268" spans="1:7" ht="16.5" thickBot="1" x14ac:dyDescent="0.3">
      <c r="A268" s="12" t="s">
        <v>91</v>
      </c>
      <c r="B268" s="13" t="s">
        <v>26</v>
      </c>
      <c r="C268" s="43"/>
      <c r="D268" s="43"/>
      <c r="E268" s="8"/>
      <c r="F268" s="8"/>
      <c r="G268" s="9"/>
    </row>
    <row r="269" spans="1:7" x14ac:dyDescent="0.25">
      <c r="A269" s="12" t="s">
        <v>88</v>
      </c>
      <c r="B269" s="13">
        <v>75</v>
      </c>
      <c r="C269" s="44"/>
      <c r="D269" s="44"/>
      <c r="E269" s="11"/>
      <c r="F269" s="17"/>
      <c r="G269" s="18"/>
    </row>
    <row r="270" spans="1:7" x14ac:dyDescent="0.25">
      <c r="A270" s="12" t="s">
        <v>89</v>
      </c>
      <c r="B270" s="13">
        <v>20</v>
      </c>
      <c r="C270" s="45"/>
      <c r="D270" s="45"/>
      <c r="E270" s="12"/>
      <c r="F270" s="10"/>
      <c r="G270" s="19"/>
    </row>
    <row r="271" spans="1:7" ht="16.5" thickBot="1" x14ac:dyDescent="0.3">
      <c r="A271" s="14" t="s">
        <v>90</v>
      </c>
      <c r="B271" s="15">
        <v>55</v>
      </c>
      <c r="C271" s="46"/>
      <c r="D271" s="46"/>
      <c r="E271" s="14"/>
      <c r="F271" s="20"/>
      <c r="G271" s="21"/>
    </row>
    <row r="272" spans="1:7" x14ac:dyDescent="0.25">
      <c r="A272" s="37" t="s">
        <v>83</v>
      </c>
      <c r="B272" s="38" t="s">
        <v>127</v>
      </c>
      <c r="C272" s="42" t="s">
        <v>111</v>
      </c>
      <c r="D272" s="42" t="s">
        <v>110</v>
      </c>
      <c r="E272" s="4"/>
      <c r="F272" s="4"/>
      <c r="G272" s="5"/>
    </row>
    <row r="273" spans="1:7" x14ac:dyDescent="0.25">
      <c r="A273" s="12" t="s">
        <v>86</v>
      </c>
      <c r="B273" s="13"/>
      <c r="C273" s="43"/>
      <c r="D273" s="43"/>
      <c r="E273" s="6"/>
      <c r="F273" s="6"/>
      <c r="G273" s="7"/>
    </row>
    <row r="274" spans="1:7" ht="16.5" thickBot="1" x14ac:dyDescent="0.3">
      <c r="A274" s="12" t="s">
        <v>91</v>
      </c>
      <c r="B274" s="13" t="s">
        <v>19</v>
      </c>
      <c r="C274" s="43"/>
      <c r="D274" s="43"/>
      <c r="E274" s="8"/>
      <c r="F274" s="8"/>
      <c r="G274" s="9"/>
    </row>
    <row r="275" spans="1:7" x14ac:dyDescent="0.25">
      <c r="A275" s="12" t="s">
        <v>88</v>
      </c>
      <c r="B275" s="13">
        <v>75</v>
      </c>
      <c r="C275" s="44"/>
      <c r="D275" s="44"/>
      <c r="E275" s="11"/>
      <c r="F275" s="17"/>
      <c r="G275" s="18"/>
    </row>
    <row r="276" spans="1:7" x14ac:dyDescent="0.25">
      <c r="A276" s="12" t="s">
        <v>89</v>
      </c>
      <c r="B276" s="13">
        <v>20</v>
      </c>
      <c r="C276" s="45"/>
      <c r="D276" s="45"/>
      <c r="E276" s="12"/>
      <c r="F276" s="10"/>
      <c r="G276" s="19"/>
    </row>
    <row r="277" spans="1:7" ht="16.5" thickBot="1" x14ac:dyDescent="0.3">
      <c r="A277" s="14" t="s">
        <v>90</v>
      </c>
      <c r="B277" s="15">
        <v>55</v>
      </c>
      <c r="C277" s="46"/>
      <c r="D277" s="46"/>
      <c r="E277" s="14"/>
      <c r="F277" s="20"/>
      <c r="G277" s="21"/>
    </row>
    <row r="278" spans="1:7" x14ac:dyDescent="0.25">
      <c r="A278" s="37" t="s">
        <v>83</v>
      </c>
      <c r="B278" s="38" t="s">
        <v>127</v>
      </c>
      <c r="C278" s="42" t="s">
        <v>111</v>
      </c>
      <c r="D278" s="42" t="s">
        <v>110</v>
      </c>
      <c r="E278" s="4"/>
      <c r="F278" s="4"/>
      <c r="G278" s="5"/>
    </row>
    <row r="279" spans="1:7" x14ac:dyDescent="0.25">
      <c r="A279" s="12" t="s">
        <v>86</v>
      </c>
      <c r="B279" s="13"/>
      <c r="C279" s="43"/>
      <c r="D279" s="43"/>
      <c r="E279" s="6"/>
      <c r="F279" s="6"/>
      <c r="G279" s="7"/>
    </row>
    <row r="280" spans="1:7" ht="16.5" thickBot="1" x14ac:dyDescent="0.3">
      <c r="A280" s="12" t="s">
        <v>91</v>
      </c>
      <c r="B280" s="13" t="s">
        <v>20</v>
      </c>
      <c r="C280" s="43"/>
      <c r="D280" s="43"/>
      <c r="E280" s="8"/>
      <c r="F280" s="8"/>
      <c r="G280" s="9"/>
    </row>
    <row r="281" spans="1:7" x14ac:dyDescent="0.25">
      <c r="A281" s="12" t="s">
        <v>88</v>
      </c>
      <c r="B281" s="13">
        <v>75</v>
      </c>
      <c r="C281" s="44"/>
      <c r="D281" s="44"/>
      <c r="E281" s="11"/>
      <c r="F281" s="17"/>
      <c r="G281" s="18"/>
    </row>
    <row r="282" spans="1:7" x14ac:dyDescent="0.25">
      <c r="A282" s="12" t="s">
        <v>89</v>
      </c>
      <c r="B282" s="13">
        <v>20</v>
      </c>
      <c r="C282" s="45"/>
      <c r="D282" s="45"/>
      <c r="E282" s="12"/>
      <c r="F282" s="10"/>
      <c r="G282" s="19"/>
    </row>
    <row r="283" spans="1:7" ht="16.5" thickBot="1" x14ac:dyDescent="0.3">
      <c r="A283" s="14" t="s">
        <v>90</v>
      </c>
      <c r="B283" s="15">
        <v>55</v>
      </c>
      <c r="C283" s="46"/>
      <c r="D283" s="46"/>
      <c r="E283" s="14"/>
      <c r="F283" s="20"/>
      <c r="G283" s="21"/>
    </row>
    <row r="284" spans="1:7" x14ac:dyDescent="0.25">
      <c r="A284" s="37" t="s">
        <v>83</v>
      </c>
      <c r="B284" s="38" t="s">
        <v>127</v>
      </c>
      <c r="C284" s="42" t="s">
        <v>111</v>
      </c>
      <c r="D284" s="42" t="s">
        <v>110</v>
      </c>
      <c r="E284" s="4"/>
      <c r="F284" s="4"/>
      <c r="G284" s="5"/>
    </row>
    <row r="285" spans="1:7" x14ac:dyDescent="0.25">
      <c r="A285" s="12" t="s">
        <v>86</v>
      </c>
      <c r="B285" s="13"/>
      <c r="C285" s="43"/>
      <c r="D285" s="43"/>
      <c r="E285" s="6"/>
      <c r="F285" s="6"/>
      <c r="G285" s="7"/>
    </row>
    <row r="286" spans="1:7" ht="16.5" thickBot="1" x14ac:dyDescent="0.3">
      <c r="A286" s="12" t="s">
        <v>91</v>
      </c>
      <c r="B286" s="13" t="s">
        <v>26</v>
      </c>
      <c r="C286" s="43"/>
      <c r="D286" s="43"/>
      <c r="E286" s="8"/>
      <c r="F286" s="8"/>
      <c r="G286" s="9"/>
    </row>
    <row r="287" spans="1:7" x14ac:dyDescent="0.25">
      <c r="A287" s="12" t="s">
        <v>88</v>
      </c>
      <c r="B287" s="13">
        <v>75</v>
      </c>
      <c r="C287" s="44"/>
      <c r="D287" s="44"/>
      <c r="E287" s="11"/>
      <c r="F287" s="17"/>
      <c r="G287" s="18"/>
    </row>
    <row r="288" spans="1:7" x14ac:dyDescent="0.25">
      <c r="A288" s="12" t="s">
        <v>89</v>
      </c>
      <c r="B288" s="13">
        <v>20</v>
      </c>
      <c r="C288" s="45"/>
      <c r="D288" s="45"/>
      <c r="E288" s="12"/>
      <c r="F288" s="10"/>
      <c r="G288" s="19"/>
    </row>
    <row r="289" spans="1:7" ht="16.5" thickBot="1" x14ac:dyDescent="0.3">
      <c r="A289" s="14" t="s">
        <v>90</v>
      </c>
      <c r="B289" s="15">
        <v>55</v>
      </c>
      <c r="C289" s="46"/>
      <c r="D289" s="46"/>
      <c r="E289" s="14"/>
      <c r="F289" s="20"/>
      <c r="G289" s="21"/>
    </row>
    <row r="290" spans="1:7" x14ac:dyDescent="0.25">
      <c r="A290" s="37" t="s">
        <v>83</v>
      </c>
      <c r="B290" s="38" t="s">
        <v>75</v>
      </c>
      <c r="C290" s="42" t="s">
        <v>111</v>
      </c>
      <c r="D290" s="42" t="s">
        <v>110</v>
      </c>
      <c r="E290" s="4"/>
      <c r="F290" s="4"/>
      <c r="G290" s="5"/>
    </row>
    <row r="291" spans="1:7" x14ac:dyDescent="0.25">
      <c r="A291" s="12" t="s">
        <v>86</v>
      </c>
      <c r="B291" s="13"/>
      <c r="C291" s="43"/>
      <c r="D291" s="43"/>
      <c r="E291" s="6"/>
      <c r="F291" s="6"/>
      <c r="G291" s="7"/>
    </row>
    <row r="292" spans="1:7" ht="16.5" thickBot="1" x14ac:dyDescent="0.3">
      <c r="A292" s="12" t="s">
        <v>91</v>
      </c>
      <c r="B292" s="13" t="s">
        <v>12</v>
      </c>
      <c r="C292" s="43"/>
      <c r="D292" s="43"/>
      <c r="E292" s="8"/>
      <c r="F292" s="8"/>
      <c r="G292" s="9"/>
    </row>
    <row r="293" spans="1:7" x14ac:dyDescent="0.25">
      <c r="A293" s="12" t="s">
        <v>88</v>
      </c>
      <c r="B293" s="13">
        <v>75</v>
      </c>
      <c r="C293" s="44"/>
      <c r="D293" s="44"/>
      <c r="E293" s="11"/>
      <c r="F293" s="17"/>
      <c r="G293" s="18"/>
    </row>
    <row r="294" spans="1:7" x14ac:dyDescent="0.25">
      <c r="A294" s="12" t="s">
        <v>89</v>
      </c>
      <c r="B294" s="13">
        <v>20</v>
      </c>
      <c r="C294" s="45"/>
      <c r="D294" s="45"/>
      <c r="E294" s="12"/>
      <c r="F294" s="10"/>
      <c r="G294" s="19"/>
    </row>
    <row r="295" spans="1:7" ht="16.5" thickBot="1" x14ac:dyDescent="0.3">
      <c r="A295" s="14" t="s">
        <v>90</v>
      </c>
      <c r="B295" s="15">
        <v>55</v>
      </c>
      <c r="C295" s="46"/>
      <c r="D295" s="46"/>
      <c r="E295" s="14"/>
      <c r="F295" s="20"/>
      <c r="G295" s="21"/>
    </row>
    <row r="296" spans="1:7" x14ac:dyDescent="0.25">
      <c r="A296" s="37" t="s">
        <v>83</v>
      </c>
      <c r="B296" s="38" t="s">
        <v>75</v>
      </c>
      <c r="C296" s="42" t="s">
        <v>111</v>
      </c>
      <c r="D296" s="42" t="s">
        <v>110</v>
      </c>
      <c r="E296" s="4"/>
      <c r="F296" s="4"/>
      <c r="G296" s="5"/>
    </row>
    <row r="297" spans="1:7" x14ac:dyDescent="0.25">
      <c r="A297" s="12" t="s">
        <v>86</v>
      </c>
      <c r="B297" s="13"/>
      <c r="C297" s="43"/>
      <c r="D297" s="43"/>
      <c r="E297" s="6"/>
      <c r="F297" s="6"/>
      <c r="G297" s="7"/>
    </row>
    <row r="298" spans="1:7" ht="16.5" thickBot="1" x14ac:dyDescent="0.3">
      <c r="A298" s="12" t="s">
        <v>91</v>
      </c>
      <c r="B298" s="13" t="s">
        <v>19</v>
      </c>
      <c r="C298" s="43"/>
      <c r="D298" s="43"/>
      <c r="E298" s="8"/>
      <c r="F298" s="8"/>
      <c r="G298" s="9"/>
    </row>
    <row r="299" spans="1:7" x14ac:dyDescent="0.25">
      <c r="A299" s="12" t="s">
        <v>88</v>
      </c>
      <c r="B299" s="13">
        <v>75</v>
      </c>
      <c r="C299" s="44"/>
      <c r="D299" s="44"/>
      <c r="E299" s="11"/>
      <c r="F299" s="17"/>
      <c r="G299" s="18"/>
    </row>
    <row r="300" spans="1:7" x14ac:dyDescent="0.25">
      <c r="A300" s="12" t="s">
        <v>89</v>
      </c>
      <c r="B300" s="13">
        <v>20</v>
      </c>
      <c r="C300" s="45"/>
      <c r="D300" s="45"/>
      <c r="E300" s="12"/>
      <c r="F300" s="10"/>
      <c r="G300" s="19"/>
    </row>
    <row r="301" spans="1:7" ht="16.5" thickBot="1" x14ac:dyDescent="0.3">
      <c r="A301" s="14" t="s">
        <v>90</v>
      </c>
      <c r="B301" s="15">
        <v>55</v>
      </c>
      <c r="C301" s="46"/>
      <c r="D301" s="46"/>
      <c r="E301" s="14"/>
      <c r="F301" s="20"/>
      <c r="G301" s="21"/>
    </row>
    <row r="302" spans="1:7" x14ac:dyDescent="0.25">
      <c r="A302" s="37" t="s">
        <v>83</v>
      </c>
      <c r="B302" s="38" t="s">
        <v>75</v>
      </c>
      <c r="C302" s="42" t="s">
        <v>111</v>
      </c>
      <c r="D302" s="42" t="s">
        <v>110</v>
      </c>
      <c r="E302" s="4"/>
      <c r="F302" s="4"/>
      <c r="G302" s="5"/>
    </row>
    <row r="303" spans="1:7" x14ac:dyDescent="0.25">
      <c r="A303" s="12" t="s">
        <v>86</v>
      </c>
      <c r="B303" s="13"/>
      <c r="C303" s="43"/>
      <c r="D303" s="43"/>
      <c r="E303" s="6"/>
      <c r="F303" s="6"/>
      <c r="G303" s="7"/>
    </row>
    <row r="304" spans="1:7" ht="16.5" thickBot="1" x14ac:dyDescent="0.3">
      <c r="A304" s="12" t="s">
        <v>91</v>
      </c>
      <c r="B304" s="13" t="s">
        <v>22</v>
      </c>
      <c r="C304" s="43"/>
      <c r="D304" s="43"/>
      <c r="E304" s="8"/>
      <c r="F304" s="8"/>
      <c r="G304" s="9"/>
    </row>
    <row r="305" spans="1:7" x14ac:dyDescent="0.25">
      <c r="A305" s="12" t="s">
        <v>88</v>
      </c>
      <c r="B305" s="13">
        <v>75</v>
      </c>
      <c r="C305" s="44"/>
      <c r="D305" s="44"/>
      <c r="E305" s="11"/>
      <c r="F305" s="17"/>
      <c r="G305" s="18"/>
    </row>
    <row r="306" spans="1:7" x14ac:dyDescent="0.25">
      <c r="A306" s="12" t="s">
        <v>89</v>
      </c>
      <c r="B306" s="13">
        <v>20</v>
      </c>
      <c r="C306" s="45"/>
      <c r="D306" s="45"/>
      <c r="E306" s="12"/>
      <c r="F306" s="10"/>
      <c r="G306" s="19"/>
    </row>
    <row r="307" spans="1:7" ht="16.5" thickBot="1" x14ac:dyDescent="0.3">
      <c r="A307" s="14" t="s">
        <v>90</v>
      </c>
      <c r="B307" s="15">
        <v>55</v>
      </c>
      <c r="C307" s="46"/>
      <c r="D307" s="46"/>
      <c r="E307" s="14"/>
      <c r="F307" s="20"/>
      <c r="G307" s="21"/>
    </row>
  </sheetData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49"/>
  <sheetViews>
    <sheetView workbookViewId="0">
      <selection sqref="A1:G7"/>
    </sheetView>
  </sheetViews>
  <sheetFormatPr defaultColWidth="11" defaultRowHeight="15.75" x14ac:dyDescent="0.25"/>
  <cols>
    <col min="1" max="2" width="30.875" customWidth="1"/>
    <col min="3" max="3" width="9" bestFit="1" customWidth="1"/>
    <col min="4" max="4" width="12.5" bestFit="1" customWidth="1"/>
    <col min="5" max="7" width="30.875" customWidth="1"/>
  </cols>
  <sheetData>
    <row r="1" spans="1:7" ht="21.75" thickBot="1" x14ac:dyDescent="0.4">
      <c r="A1" s="32" t="s">
        <v>85</v>
      </c>
      <c r="B1" s="33" t="s">
        <v>41</v>
      </c>
      <c r="C1" s="41"/>
      <c r="D1" s="41"/>
      <c r="E1" s="34" t="s">
        <v>97</v>
      </c>
      <c r="F1" s="35" t="s">
        <v>98</v>
      </c>
      <c r="G1" s="36" t="s">
        <v>99</v>
      </c>
    </row>
    <row r="2" spans="1:7" x14ac:dyDescent="0.25">
      <c r="A2" s="37" t="s">
        <v>83</v>
      </c>
      <c r="B2" s="38" t="s">
        <v>41</v>
      </c>
      <c r="C2" s="42" t="s">
        <v>111</v>
      </c>
      <c r="D2" s="42" t="s">
        <v>110</v>
      </c>
      <c r="E2" s="4"/>
      <c r="F2" s="4"/>
      <c r="G2" s="5"/>
    </row>
    <row r="3" spans="1:7" x14ac:dyDescent="0.25">
      <c r="A3" s="12" t="s">
        <v>86</v>
      </c>
      <c r="B3" s="13"/>
      <c r="C3" s="43"/>
      <c r="D3" s="43"/>
      <c r="E3" s="6"/>
      <c r="F3" s="6"/>
      <c r="G3" s="7"/>
    </row>
    <row r="4" spans="1:7" ht="16.5" thickBot="1" x14ac:dyDescent="0.3">
      <c r="A4" s="12" t="s">
        <v>91</v>
      </c>
      <c r="B4" s="13" t="s">
        <v>6</v>
      </c>
      <c r="C4" s="43"/>
      <c r="D4" s="43"/>
      <c r="E4" s="8"/>
      <c r="F4" s="8"/>
      <c r="G4" s="9"/>
    </row>
    <row r="5" spans="1:7" x14ac:dyDescent="0.25">
      <c r="A5" s="12" t="s">
        <v>88</v>
      </c>
      <c r="B5" s="13">
        <v>75</v>
      </c>
      <c r="C5" s="44"/>
      <c r="D5" s="44"/>
      <c r="E5" s="11"/>
      <c r="F5" s="17"/>
      <c r="G5" s="18"/>
    </row>
    <row r="6" spans="1:7" x14ac:dyDescent="0.25">
      <c r="A6" s="12" t="s">
        <v>89</v>
      </c>
      <c r="B6" s="13">
        <v>20</v>
      </c>
      <c r="C6" s="45"/>
      <c r="D6" s="45"/>
      <c r="E6" s="12"/>
      <c r="F6" s="10"/>
      <c r="G6" s="19"/>
    </row>
    <row r="7" spans="1:7" ht="16.5" thickBot="1" x14ac:dyDescent="0.3">
      <c r="A7" s="14" t="s">
        <v>90</v>
      </c>
      <c r="B7" s="15">
        <v>55</v>
      </c>
      <c r="C7" s="46"/>
      <c r="D7" s="46"/>
      <c r="E7" s="14"/>
      <c r="F7" s="20"/>
      <c r="G7" s="21"/>
    </row>
    <row r="8" spans="1:7" x14ac:dyDescent="0.25">
      <c r="A8" s="37" t="s">
        <v>83</v>
      </c>
      <c r="B8" s="38" t="s">
        <v>41</v>
      </c>
      <c r="C8" s="42" t="s">
        <v>111</v>
      </c>
      <c r="D8" s="42" t="s">
        <v>110</v>
      </c>
      <c r="E8" s="4"/>
      <c r="F8" s="4"/>
      <c r="G8" s="5"/>
    </row>
    <row r="9" spans="1:7" x14ac:dyDescent="0.25">
      <c r="A9" s="12" t="s">
        <v>86</v>
      </c>
      <c r="B9" s="13"/>
      <c r="C9" s="43"/>
      <c r="D9" s="43"/>
      <c r="E9" s="6"/>
      <c r="F9" s="6"/>
      <c r="G9" s="7"/>
    </row>
    <row r="10" spans="1:7" ht="16.5" thickBot="1" x14ac:dyDescent="0.3">
      <c r="A10" s="12" t="s">
        <v>91</v>
      </c>
      <c r="B10" s="13" t="s">
        <v>7</v>
      </c>
      <c r="C10" s="43"/>
      <c r="D10" s="43"/>
      <c r="E10" s="8"/>
      <c r="F10" s="8"/>
      <c r="G10" s="9"/>
    </row>
    <row r="11" spans="1:7" x14ac:dyDescent="0.25">
      <c r="A11" s="12" t="s">
        <v>88</v>
      </c>
      <c r="B11" s="13">
        <v>75</v>
      </c>
      <c r="C11" s="44"/>
      <c r="D11" s="44"/>
      <c r="E11" s="11"/>
      <c r="F11" s="17"/>
      <c r="G11" s="18"/>
    </row>
    <row r="12" spans="1:7" x14ac:dyDescent="0.25">
      <c r="A12" s="12" t="s">
        <v>89</v>
      </c>
      <c r="B12" s="13">
        <v>20</v>
      </c>
      <c r="C12" s="45"/>
      <c r="D12" s="45"/>
      <c r="E12" s="12"/>
      <c r="F12" s="10"/>
      <c r="G12" s="19"/>
    </row>
    <row r="13" spans="1:7" ht="16.5" thickBot="1" x14ac:dyDescent="0.3">
      <c r="A13" s="14" t="s">
        <v>90</v>
      </c>
      <c r="B13" s="15">
        <v>55</v>
      </c>
      <c r="C13" s="46"/>
      <c r="D13" s="46"/>
      <c r="E13" s="14"/>
      <c r="F13" s="20"/>
      <c r="G13" s="21"/>
    </row>
    <row r="14" spans="1:7" x14ac:dyDescent="0.25">
      <c r="A14" s="37" t="s">
        <v>83</v>
      </c>
      <c r="B14" s="38" t="s">
        <v>41</v>
      </c>
      <c r="C14" s="42" t="s">
        <v>111</v>
      </c>
      <c r="D14" s="42" t="s">
        <v>110</v>
      </c>
      <c r="E14" s="4"/>
      <c r="F14" s="4"/>
      <c r="G14" s="5"/>
    </row>
    <row r="15" spans="1:7" x14ac:dyDescent="0.25">
      <c r="A15" s="12" t="s">
        <v>86</v>
      </c>
      <c r="B15" s="13"/>
      <c r="C15" s="43"/>
      <c r="D15" s="43"/>
      <c r="E15" s="6"/>
      <c r="F15" s="6"/>
      <c r="G15" s="7"/>
    </row>
    <row r="16" spans="1:7" ht="16.5" thickBot="1" x14ac:dyDescent="0.3">
      <c r="A16" s="12" t="s">
        <v>91</v>
      </c>
      <c r="B16" s="13" t="s">
        <v>8</v>
      </c>
      <c r="C16" s="43"/>
      <c r="D16" s="43"/>
      <c r="E16" s="8"/>
      <c r="F16" s="8"/>
      <c r="G16" s="9"/>
    </row>
    <row r="17" spans="1:7" x14ac:dyDescent="0.25">
      <c r="A17" s="12" t="s">
        <v>88</v>
      </c>
      <c r="B17" s="13">
        <v>75</v>
      </c>
      <c r="C17" s="44"/>
      <c r="D17" s="44"/>
      <c r="E17" s="11"/>
      <c r="F17" s="17"/>
      <c r="G17" s="18"/>
    </row>
    <row r="18" spans="1:7" x14ac:dyDescent="0.25">
      <c r="A18" s="12" t="s">
        <v>89</v>
      </c>
      <c r="B18" s="13">
        <v>20</v>
      </c>
      <c r="C18" s="45"/>
      <c r="D18" s="45"/>
      <c r="E18" s="12"/>
      <c r="F18" s="10"/>
      <c r="G18" s="19"/>
    </row>
    <row r="19" spans="1:7" ht="16.5" thickBot="1" x14ac:dyDescent="0.3">
      <c r="A19" s="14" t="s">
        <v>90</v>
      </c>
      <c r="B19" s="15">
        <v>55</v>
      </c>
      <c r="C19" s="46"/>
      <c r="D19" s="46"/>
      <c r="E19" s="14"/>
      <c r="F19" s="20"/>
      <c r="G19" s="21"/>
    </row>
    <row r="20" spans="1:7" x14ac:dyDescent="0.25">
      <c r="A20" s="37" t="s">
        <v>83</v>
      </c>
      <c r="B20" s="38" t="s">
        <v>41</v>
      </c>
      <c r="C20" s="42" t="s">
        <v>111</v>
      </c>
      <c r="D20" s="42" t="s">
        <v>110</v>
      </c>
      <c r="E20" s="4"/>
      <c r="F20" s="4"/>
      <c r="G20" s="5"/>
    </row>
    <row r="21" spans="1:7" x14ac:dyDescent="0.25">
      <c r="A21" s="12" t="s">
        <v>86</v>
      </c>
      <c r="B21" s="13"/>
      <c r="C21" s="43"/>
      <c r="D21" s="43"/>
      <c r="E21" s="6"/>
      <c r="F21" s="6"/>
      <c r="G21" s="7"/>
    </row>
    <row r="22" spans="1:7" ht="16.5" thickBot="1" x14ac:dyDescent="0.3">
      <c r="A22" s="12" t="s">
        <v>91</v>
      </c>
      <c r="B22" s="13" t="s">
        <v>10</v>
      </c>
      <c r="C22" s="43"/>
      <c r="D22" s="43"/>
      <c r="E22" s="8"/>
      <c r="F22" s="8"/>
      <c r="G22" s="9"/>
    </row>
    <row r="23" spans="1:7" x14ac:dyDescent="0.25">
      <c r="A23" s="12" t="s">
        <v>88</v>
      </c>
      <c r="B23" s="13">
        <v>75</v>
      </c>
      <c r="C23" s="44"/>
      <c r="D23" s="44"/>
      <c r="E23" s="11"/>
      <c r="F23" s="17"/>
      <c r="G23" s="18"/>
    </row>
    <row r="24" spans="1:7" x14ac:dyDescent="0.25">
      <c r="A24" s="12" t="s">
        <v>89</v>
      </c>
      <c r="B24" s="13">
        <v>20</v>
      </c>
      <c r="C24" s="45"/>
      <c r="D24" s="45"/>
      <c r="E24" s="12"/>
      <c r="F24" s="10"/>
      <c r="G24" s="19"/>
    </row>
    <row r="25" spans="1:7" ht="16.5" thickBot="1" x14ac:dyDescent="0.3">
      <c r="A25" s="14" t="s">
        <v>90</v>
      </c>
      <c r="B25" s="15">
        <v>55</v>
      </c>
      <c r="C25" s="46"/>
      <c r="D25" s="46"/>
      <c r="E25" s="14"/>
      <c r="F25" s="20"/>
      <c r="G25" s="21"/>
    </row>
    <row r="26" spans="1:7" x14ac:dyDescent="0.25">
      <c r="A26" s="37" t="s">
        <v>83</v>
      </c>
      <c r="B26" s="38" t="s">
        <v>39</v>
      </c>
      <c r="C26" s="42" t="s">
        <v>111</v>
      </c>
      <c r="D26" s="42" t="s">
        <v>110</v>
      </c>
      <c r="E26" s="4"/>
      <c r="F26" s="4"/>
      <c r="G26" s="5"/>
    </row>
    <row r="27" spans="1:7" x14ac:dyDescent="0.25">
      <c r="A27" s="12" t="s">
        <v>86</v>
      </c>
      <c r="B27" s="13"/>
      <c r="C27" s="43"/>
      <c r="D27" s="43"/>
      <c r="E27" s="6"/>
      <c r="F27" s="6"/>
      <c r="G27" s="7"/>
    </row>
    <row r="28" spans="1:7" ht="16.5" thickBot="1" x14ac:dyDescent="0.3">
      <c r="A28" s="12" t="s">
        <v>91</v>
      </c>
      <c r="B28" s="13" t="s">
        <v>6</v>
      </c>
      <c r="C28" s="43"/>
      <c r="D28" s="43"/>
      <c r="E28" s="8"/>
      <c r="F28" s="8"/>
      <c r="G28" s="9"/>
    </row>
    <row r="29" spans="1:7" x14ac:dyDescent="0.25">
      <c r="A29" s="12" t="s">
        <v>88</v>
      </c>
      <c r="B29" s="13">
        <v>75</v>
      </c>
      <c r="C29" s="44"/>
      <c r="D29" s="44"/>
      <c r="E29" s="11"/>
      <c r="F29" s="17"/>
      <c r="G29" s="18"/>
    </row>
    <row r="30" spans="1:7" x14ac:dyDescent="0.25">
      <c r="A30" s="12" t="s">
        <v>89</v>
      </c>
      <c r="B30" s="13">
        <v>20</v>
      </c>
      <c r="C30" s="45"/>
      <c r="D30" s="45"/>
      <c r="E30" s="12"/>
      <c r="F30" s="10"/>
      <c r="G30" s="19"/>
    </row>
    <row r="31" spans="1:7" ht="16.5" thickBot="1" x14ac:dyDescent="0.3">
      <c r="A31" s="14" t="s">
        <v>90</v>
      </c>
      <c r="B31" s="15">
        <v>55</v>
      </c>
      <c r="C31" s="46"/>
      <c r="D31" s="46"/>
      <c r="E31" s="14"/>
      <c r="F31" s="20"/>
      <c r="G31" s="21"/>
    </row>
    <row r="32" spans="1:7" x14ac:dyDescent="0.25">
      <c r="A32" s="37" t="s">
        <v>83</v>
      </c>
      <c r="B32" s="38" t="s">
        <v>39</v>
      </c>
      <c r="C32" s="42" t="s">
        <v>111</v>
      </c>
      <c r="D32" s="42" t="s">
        <v>110</v>
      </c>
      <c r="E32" s="4"/>
      <c r="F32" s="4"/>
      <c r="G32" s="5"/>
    </row>
    <row r="33" spans="1:7" x14ac:dyDescent="0.25">
      <c r="A33" s="12" t="s">
        <v>86</v>
      </c>
      <c r="B33" s="13"/>
      <c r="C33" s="43"/>
      <c r="D33" s="43"/>
      <c r="E33" s="6"/>
      <c r="F33" s="6"/>
      <c r="G33" s="7"/>
    </row>
    <row r="34" spans="1:7" ht="16.5" thickBot="1" x14ac:dyDescent="0.3">
      <c r="A34" s="12" t="s">
        <v>91</v>
      </c>
      <c r="B34" s="13" t="s">
        <v>7</v>
      </c>
      <c r="C34" s="43"/>
      <c r="D34" s="43"/>
      <c r="E34" s="8"/>
      <c r="F34" s="8"/>
      <c r="G34" s="9"/>
    </row>
    <row r="35" spans="1:7" x14ac:dyDescent="0.25">
      <c r="A35" s="12" t="s">
        <v>88</v>
      </c>
      <c r="B35" s="13">
        <v>75</v>
      </c>
      <c r="C35" s="44"/>
      <c r="D35" s="44"/>
      <c r="E35" s="11"/>
      <c r="F35" s="17"/>
      <c r="G35" s="18"/>
    </row>
    <row r="36" spans="1:7" x14ac:dyDescent="0.25">
      <c r="A36" s="12" t="s">
        <v>89</v>
      </c>
      <c r="B36" s="13">
        <v>20</v>
      </c>
      <c r="C36" s="45"/>
      <c r="D36" s="45"/>
      <c r="E36" s="12"/>
      <c r="F36" s="10"/>
      <c r="G36" s="19"/>
    </row>
    <row r="37" spans="1:7" ht="16.5" thickBot="1" x14ac:dyDescent="0.3">
      <c r="A37" s="14" t="s">
        <v>90</v>
      </c>
      <c r="B37" s="15">
        <v>55</v>
      </c>
      <c r="C37" s="46"/>
      <c r="D37" s="46"/>
      <c r="E37" s="14"/>
      <c r="F37" s="20"/>
      <c r="G37" s="21"/>
    </row>
    <row r="38" spans="1:7" x14ac:dyDescent="0.25">
      <c r="A38" s="37" t="s">
        <v>83</v>
      </c>
      <c r="B38" s="38" t="s">
        <v>39</v>
      </c>
      <c r="C38" s="42" t="s">
        <v>111</v>
      </c>
      <c r="D38" s="42" t="s">
        <v>110</v>
      </c>
      <c r="E38" s="4"/>
      <c r="F38" s="4"/>
      <c r="G38" s="5"/>
    </row>
    <row r="39" spans="1:7" x14ac:dyDescent="0.25">
      <c r="A39" s="12" t="s">
        <v>86</v>
      </c>
      <c r="B39" s="13"/>
      <c r="C39" s="43"/>
      <c r="D39" s="43"/>
      <c r="E39" s="6"/>
      <c r="F39" s="6"/>
      <c r="G39" s="7"/>
    </row>
    <row r="40" spans="1:7" ht="16.5" thickBot="1" x14ac:dyDescent="0.3">
      <c r="A40" s="12" t="s">
        <v>91</v>
      </c>
      <c r="B40" s="13" t="s">
        <v>8</v>
      </c>
      <c r="C40" s="43"/>
      <c r="D40" s="43"/>
      <c r="E40" s="8"/>
      <c r="F40" s="8"/>
      <c r="G40" s="9"/>
    </row>
    <row r="41" spans="1:7" x14ac:dyDescent="0.25">
      <c r="A41" s="12" t="s">
        <v>88</v>
      </c>
      <c r="B41" s="13">
        <v>75</v>
      </c>
      <c r="C41" s="44"/>
      <c r="D41" s="44"/>
      <c r="E41" s="11"/>
      <c r="F41" s="17"/>
      <c r="G41" s="18"/>
    </row>
    <row r="42" spans="1:7" x14ac:dyDescent="0.25">
      <c r="A42" s="12" t="s">
        <v>89</v>
      </c>
      <c r="B42" s="13">
        <v>20</v>
      </c>
      <c r="C42" s="45"/>
      <c r="D42" s="45"/>
      <c r="E42" s="12"/>
      <c r="F42" s="10"/>
      <c r="G42" s="19"/>
    </row>
    <row r="43" spans="1:7" ht="16.5" thickBot="1" x14ac:dyDescent="0.3">
      <c r="A43" s="14" t="s">
        <v>90</v>
      </c>
      <c r="B43" s="15">
        <v>55</v>
      </c>
      <c r="C43" s="46"/>
      <c r="D43" s="46"/>
      <c r="E43" s="14"/>
      <c r="F43" s="20"/>
      <c r="G43" s="21"/>
    </row>
    <row r="44" spans="1:7" x14ac:dyDescent="0.25">
      <c r="A44" s="37" t="s">
        <v>83</v>
      </c>
      <c r="B44" s="38" t="s">
        <v>39</v>
      </c>
      <c r="C44" s="42" t="s">
        <v>111</v>
      </c>
      <c r="D44" s="42" t="s">
        <v>110</v>
      </c>
      <c r="E44" s="4"/>
      <c r="F44" s="4"/>
      <c r="G44" s="5"/>
    </row>
    <row r="45" spans="1:7" x14ac:dyDescent="0.25">
      <c r="A45" s="12" t="s">
        <v>86</v>
      </c>
      <c r="B45" s="13"/>
      <c r="C45" s="43"/>
      <c r="D45" s="43"/>
      <c r="E45" s="6"/>
      <c r="F45" s="6"/>
      <c r="G45" s="7"/>
    </row>
    <row r="46" spans="1:7" ht="16.5" thickBot="1" x14ac:dyDescent="0.3">
      <c r="A46" s="12" t="s">
        <v>91</v>
      </c>
      <c r="B46" s="13" t="s">
        <v>10</v>
      </c>
      <c r="C46" s="43"/>
      <c r="D46" s="43"/>
      <c r="E46" s="8"/>
      <c r="F46" s="8"/>
      <c r="G46" s="9"/>
    </row>
    <row r="47" spans="1:7" x14ac:dyDescent="0.25">
      <c r="A47" s="12" t="s">
        <v>88</v>
      </c>
      <c r="B47" s="13">
        <v>75</v>
      </c>
      <c r="C47" s="44"/>
      <c r="D47" s="44"/>
      <c r="E47" s="11"/>
      <c r="F47" s="17"/>
      <c r="G47" s="18"/>
    </row>
    <row r="48" spans="1:7" x14ac:dyDescent="0.25">
      <c r="A48" s="12" t="s">
        <v>89</v>
      </c>
      <c r="B48" s="13">
        <v>20</v>
      </c>
      <c r="C48" s="45"/>
      <c r="D48" s="45"/>
      <c r="E48" s="12"/>
      <c r="F48" s="10"/>
      <c r="G48" s="19"/>
    </row>
    <row r="49" spans="1:7" ht="16.5" thickBot="1" x14ac:dyDescent="0.3">
      <c r="A49" s="14" t="s">
        <v>90</v>
      </c>
      <c r="B49" s="15">
        <v>55</v>
      </c>
      <c r="C49" s="46"/>
      <c r="D49" s="46"/>
      <c r="E49" s="14"/>
      <c r="F49" s="20"/>
      <c r="G49" s="21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7"/>
  <sheetViews>
    <sheetView topLeftCell="A10" workbookViewId="0">
      <selection activeCell="B32" sqref="B32"/>
    </sheetView>
  </sheetViews>
  <sheetFormatPr defaultRowHeight="15.75" x14ac:dyDescent="0.25"/>
  <cols>
    <col min="1" max="2" width="30.625" customWidth="1"/>
    <col min="4" max="4" width="12.5" bestFit="1" customWidth="1"/>
    <col min="5" max="7" width="30.625" customWidth="1"/>
  </cols>
  <sheetData>
    <row r="1" spans="1:7" ht="21.75" thickBot="1" x14ac:dyDescent="0.4">
      <c r="A1" s="32" t="s">
        <v>85</v>
      </c>
      <c r="B1" s="33" t="s">
        <v>71</v>
      </c>
      <c r="C1" s="41"/>
      <c r="D1" s="41"/>
      <c r="E1" s="34" t="s">
        <v>97</v>
      </c>
      <c r="F1" s="35" t="s">
        <v>98</v>
      </c>
      <c r="G1" s="36" t="s">
        <v>99</v>
      </c>
    </row>
    <row r="2" spans="1:7" x14ac:dyDescent="0.25">
      <c r="A2" s="37" t="s">
        <v>83</v>
      </c>
      <c r="B2" s="38" t="s">
        <v>51</v>
      </c>
      <c r="C2" s="42" t="s">
        <v>111</v>
      </c>
      <c r="D2" s="42" t="s">
        <v>110</v>
      </c>
      <c r="E2" s="4"/>
      <c r="F2" s="4"/>
      <c r="G2" s="5"/>
    </row>
    <row r="3" spans="1:7" x14ac:dyDescent="0.25">
      <c r="A3" s="12" t="s">
        <v>86</v>
      </c>
      <c r="B3" s="13"/>
      <c r="C3" s="43"/>
      <c r="D3" s="43"/>
      <c r="E3" s="6"/>
      <c r="F3" s="6"/>
      <c r="G3" s="7"/>
    </row>
    <row r="4" spans="1:7" ht="16.5" thickBot="1" x14ac:dyDescent="0.3">
      <c r="A4" s="12" t="s">
        <v>91</v>
      </c>
      <c r="B4" s="13" t="s">
        <v>21</v>
      </c>
      <c r="C4" s="43"/>
      <c r="D4" s="43"/>
      <c r="E4" s="8"/>
      <c r="F4" s="8"/>
      <c r="G4" s="9"/>
    </row>
    <row r="5" spans="1:7" x14ac:dyDescent="0.25">
      <c r="A5" s="12" t="s">
        <v>88</v>
      </c>
      <c r="B5" s="76">
        <v>75</v>
      </c>
      <c r="C5" s="199"/>
      <c r="D5" s="200"/>
      <c r="E5" s="77"/>
      <c r="F5" s="17"/>
      <c r="G5" s="18"/>
    </row>
    <row r="6" spans="1:7" x14ac:dyDescent="0.25">
      <c r="A6" s="12" t="s">
        <v>89</v>
      </c>
      <c r="B6" s="76">
        <v>20</v>
      </c>
      <c r="C6" s="201"/>
      <c r="D6" s="202"/>
      <c r="E6" s="79"/>
      <c r="F6" s="10"/>
      <c r="G6" s="19"/>
    </row>
    <row r="7" spans="1:7" ht="16.5" thickBot="1" x14ac:dyDescent="0.3">
      <c r="A7" s="14" t="s">
        <v>90</v>
      </c>
      <c r="B7" s="198">
        <v>55</v>
      </c>
      <c r="C7" s="203"/>
      <c r="D7" s="204"/>
      <c r="E7" s="80"/>
      <c r="F7" s="20"/>
      <c r="G7" s="21"/>
    </row>
    <row r="8" spans="1:7" x14ac:dyDescent="0.25">
      <c r="A8" s="37" t="s">
        <v>83</v>
      </c>
      <c r="B8" s="38" t="s">
        <v>38</v>
      </c>
      <c r="C8" s="42" t="s">
        <v>111</v>
      </c>
      <c r="D8" s="42" t="s">
        <v>110</v>
      </c>
      <c r="E8" s="4"/>
      <c r="F8" s="4"/>
      <c r="G8" s="5"/>
    </row>
    <row r="9" spans="1:7" x14ac:dyDescent="0.25">
      <c r="A9" s="12" t="s">
        <v>86</v>
      </c>
      <c r="B9" s="13"/>
      <c r="C9" s="43"/>
      <c r="D9" s="43"/>
      <c r="E9" s="6"/>
      <c r="F9" s="6"/>
      <c r="G9" s="7"/>
    </row>
    <row r="10" spans="1:7" ht="16.5" thickBot="1" x14ac:dyDescent="0.3">
      <c r="A10" s="12" t="s">
        <v>91</v>
      </c>
      <c r="B10" s="13" t="s">
        <v>6</v>
      </c>
      <c r="C10" s="43"/>
      <c r="D10" s="43"/>
      <c r="E10" s="8"/>
      <c r="F10" s="8"/>
      <c r="G10" s="9"/>
    </row>
    <row r="11" spans="1:7" x14ac:dyDescent="0.25">
      <c r="A11" s="12" t="s">
        <v>88</v>
      </c>
      <c r="B11" s="76">
        <v>75</v>
      </c>
      <c r="C11" s="199"/>
      <c r="D11" s="200"/>
      <c r="E11" s="77"/>
      <c r="F11" s="17"/>
      <c r="G11" s="18"/>
    </row>
    <row r="12" spans="1:7" x14ac:dyDescent="0.25">
      <c r="A12" s="12" t="s">
        <v>89</v>
      </c>
      <c r="B12" s="76">
        <v>20</v>
      </c>
      <c r="C12" s="201"/>
      <c r="D12" s="202"/>
      <c r="E12" s="79"/>
      <c r="F12" s="10"/>
      <c r="G12" s="19"/>
    </row>
    <row r="13" spans="1:7" ht="16.5" thickBot="1" x14ac:dyDescent="0.3">
      <c r="A13" s="14" t="s">
        <v>90</v>
      </c>
      <c r="B13" s="198">
        <v>55</v>
      </c>
      <c r="C13" s="203"/>
      <c r="D13" s="204"/>
      <c r="E13" s="80"/>
      <c r="F13" s="20"/>
      <c r="G13" s="21"/>
    </row>
    <row r="14" spans="1:7" x14ac:dyDescent="0.25">
      <c r="A14" s="37" t="s">
        <v>83</v>
      </c>
      <c r="B14" s="38" t="s">
        <v>38</v>
      </c>
      <c r="C14" s="42" t="s">
        <v>111</v>
      </c>
      <c r="D14" s="42" t="s">
        <v>110</v>
      </c>
      <c r="E14" s="4"/>
      <c r="F14" s="4"/>
      <c r="G14" s="5"/>
    </row>
    <row r="15" spans="1:7" x14ac:dyDescent="0.25">
      <c r="A15" s="12" t="s">
        <v>86</v>
      </c>
      <c r="B15" s="13"/>
      <c r="C15" s="43"/>
      <c r="D15" s="43"/>
      <c r="E15" s="6"/>
      <c r="F15" s="6"/>
      <c r="G15" s="7"/>
    </row>
    <row r="16" spans="1:7" ht="16.5" thickBot="1" x14ac:dyDescent="0.3">
      <c r="A16" s="12" t="s">
        <v>91</v>
      </c>
      <c r="B16" s="13" t="s">
        <v>7</v>
      </c>
      <c r="C16" s="43"/>
      <c r="D16" s="43"/>
      <c r="E16" s="8"/>
      <c r="F16" s="8"/>
      <c r="G16" s="9"/>
    </row>
    <row r="17" spans="1:7" x14ac:dyDescent="0.25">
      <c r="A17" s="12" t="s">
        <v>88</v>
      </c>
      <c r="B17" s="76">
        <v>75</v>
      </c>
      <c r="C17" s="199"/>
      <c r="D17" s="200"/>
      <c r="E17" s="77"/>
      <c r="F17" s="17"/>
      <c r="G17" s="18"/>
    </row>
    <row r="18" spans="1:7" x14ac:dyDescent="0.25">
      <c r="A18" s="12" t="s">
        <v>89</v>
      </c>
      <c r="B18" s="76">
        <v>20</v>
      </c>
      <c r="C18" s="201"/>
      <c r="D18" s="202"/>
      <c r="E18" s="79"/>
      <c r="F18" s="10"/>
      <c r="G18" s="19"/>
    </row>
    <row r="19" spans="1:7" ht="16.5" thickBot="1" x14ac:dyDescent="0.3">
      <c r="A19" s="14" t="s">
        <v>90</v>
      </c>
      <c r="B19" s="198">
        <v>55</v>
      </c>
      <c r="C19" s="203"/>
      <c r="D19" s="204"/>
      <c r="E19" s="80"/>
      <c r="F19" s="20"/>
      <c r="G19" s="21"/>
    </row>
    <row r="20" spans="1:7" x14ac:dyDescent="0.25">
      <c r="A20" s="37" t="s">
        <v>83</v>
      </c>
      <c r="B20" s="38" t="s">
        <v>38</v>
      </c>
      <c r="C20" s="42" t="s">
        <v>111</v>
      </c>
      <c r="D20" s="42" t="s">
        <v>110</v>
      </c>
      <c r="E20" s="4"/>
      <c r="F20" s="4"/>
      <c r="G20" s="5"/>
    </row>
    <row r="21" spans="1:7" x14ac:dyDescent="0.25">
      <c r="A21" s="12" t="s">
        <v>86</v>
      </c>
      <c r="B21" s="13"/>
      <c r="C21" s="43"/>
      <c r="D21" s="43"/>
      <c r="E21" s="6"/>
      <c r="F21" s="6"/>
      <c r="G21" s="7"/>
    </row>
    <row r="22" spans="1:7" ht="16.5" thickBot="1" x14ac:dyDescent="0.3">
      <c r="A22" s="12" t="s">
        <v>91</v>
      </c>
      <c r="B22" s="13" t="s">
        <v>8</v>
      </c>
      <c r="C22" s="43"/>
      <c r="D22" s="43"/>
      <c r="E22" s="8"/>
      <c r="F22" s="8"/>
      <c r="G22" s="9"/>
    </row>
    <row r="23" spans="1:7" x14ac:dyDescent="0.25">
      <c r="A23" s="12" t="s">
        <v>88</v>
      </c>
      <c r="B23" s="76">
        <v>75</v>
      </c>
      <c r="C23" s="199"/>
      <c r="D23" s="200"/>
      <c r="E23" s="77"/>
      <c r="F23" s="17"/>
      <c r="G23" s="18"/>
    </row>
    <row r="24" spans="1:7" x14ac:dyDescent="0.25">
      <c r="A24" s="12" t="s">
        <v>89</v>
      </c>
      <c r="B24" s="76">
        <v>20</v>
      </c>
      <c r="C24" s="201"/>
      <c r="D24" s="202"/>
      <c r="E24" s="79"/>
      <c r="F24" s="10"/>
      <c r="G24" s="19"/>
    </row>
    <row r="25" spans="1:7" ht="16.5" thickBot="1" x14ac:dyDescent="0.3">
      <c r="A25" s="14" t="s">
        <v>90</v>
      </c>
      <c r="B25" s="198">
        <v>55</v>
      </c>
      <c r="C25" s="203"/>
      <c r="D25" s="204"/>
      <c r="E25" s="80"/>
      <c r="F25" s="20"/>
      <c r="G25" s="21"/>
    </row>
    <row r="26" spans="1:7" x14ac:dyDescent="0.25">
      <c r="A26" s="37" t="s">
        <v>83</v>
      </c>
      <c r="B26" s="38" t="s">
        <v>38</v>
      </c>
      <c r="C26" s="42" t="s">
        <v>111</v>
      </c>
      <c r="D26" s="42" t="s">
        <v>110</v>
      </c>
      <c r="E26" s="4"/>
      <c r="F26" s="4"/>
      <c r="G26" s="5"/>
    </row>
    <row r="27" spans="1:7" x14ac:dyDescent="0.25">
      <c r="A27" s="12" t="s">
        <v>86</v>
      </c>
      <c r="B27" s="13"/>
      <c r="C27" s="43"/>
      <c r="D27" s="43"/>
      <c r="E27" s="6"/>
      <c r="F27" s="6"/>
      <c r="G27" s="7"/>
    </row>
    <row r="28" spans="1:7" ht="16.5" thickBot="1" x14ac:dyDescent="0.3">
      <c r="A28" s="12" t="s">
        <v>91</v>
      </c>
      <c r="B28" s="13" t="s">
        <v>10</v>
      </c>
      <c r="C28" s="43"/>
      <c r="D28" s="43"/>
      <c r="E28" s="8"/>
      <c r="F28" s="8"/>
      <c r="G28" s="9"/>
    </row>
    <row r="29" spans="1:7" x14ac:dyDescent="0.25">
      <c r="A29" s="12" t="s">
        <v>88</v>
      </c>
      <c r="B29" s="76">
        <v>75</v>
      </c>
      <c r="C29" s="199"/>
      <c r="D29" s="200"/>
      <c r="E29" s="77"/>
      <c r="F29" s="17"/>
      <c r="G29" s="18"/>
    </row>
    <row r="30" spans="1:7" x14ac:dyDescent="0.25">
      <c r="A30" s="12" t="s">
        <v>89</v>
      </c>
      <c r="B30" s="76">
        <v>20</v>
      </c>
      <c r="C30" s="201"/>
      <c r="D30" s="202"/>
      <c r="E30" s="79"/>
      <c r="F30" s="10"/>
      <c r="G30" s="19"/>
    </row>
    <row r="31" spans="1:7" ht="16.5" thickBot="1" x14ac:dyDescent="0.3">
      <c r="A31" s="14" t="s">
        <v>90</v>
      </c>
      <c r="B31" s="198">
        <v>55</v>
      </c>
      <c r="C31" s="203"/>
      <c r="D31" s="204"/>
      <c r="E31" s="80"/>
      <c r="F31" s="20"/>
      <c r="G31" s="21"/>
    </row>
    <row r="32" spans="1:7" x14ac:dyDescent="0.25">
      <c r="A32" s="37" t="s">
        <v>83</v>
      </c>
      <c r="B32" s="38" t="s">
        <v>38</v>
      </c>
      <c r="C32" s="42" t="s">
        <v>111</v>
      </c>
      <c r="D32" s="42" t="s">
        <v>110</v>
      </c>
      <c r="E32" s="4"/>
      <c r="F32" s="4"/>
      <c r="G32" s="5"/>
    </row>
    <row r="33" spans="1:7" x14ac:dyDescent="0.25">
      <c r="A33" s="12" t="s">
        <v>86</v>
      </c>
      <c r="B33" s="13"/>
      <c r="C33" s="43"/>
      <c r="D33" s="43"/>
      <c r="E33" s="6"/>
      <c r="F33" s="6"/>
      <c r="G33" s="7"/>
    </row>
    <row r="34" spans="1:7" ht="16.5" thickBot="1" x14ac:dyDescent="0.3">
      <c r="A34" s="12" t="s">
        <v>91</v>
      </c>
      <c r="B34" s="13" t="s">
        <v>11</v>
      </c>
      <c r="C34" s="43"/>
      <c r="D34" s="43"/>
      <c r="E34" s="8"/>
      <c r="F34" s="8"/>
      <c r="G34" s="9"/>
    </row>
    <row r="35" spans="1:7" x14ac:dyDescent="0.25">
      <c r="A35" s="12" t="s">
        <v>88</v>
      </c>
      <c r="B35" s="76">
        <v>75</v>
      </c>
      <c r="C35" s="199"/>
      <c r="D35" s="200"/>
      <c r="E35" s="77"/>
      <c r="F35" s="17"/>
      <c r="G35" s="18"/>
    </row>
    <row r="36" spans="1:7" x14ac:dyDescent="0.25">
      <c r="A36" s="12" t="s">
        <v>89</v>
      </c>
      <c r="B36" s="76">
        <v>20</v>
      </c>
      <c r="C36" s="201"/>
      <c r="D36" s="202"/>
      <c r="E36" s="79"/>
      <c r="F36" s="10"/>
      <c r="G36" s="19"/>
    </row>
    <row r="37" spans="1:7" ht="16.5" thickBot="1" x14ac:dyDescent="0.3">
      <c r="A37" s="14" t="s">
        <v>90</v>
      </c>
      <c r="B37" s="198">
        <v>55</v>
      </c>
      <c r="C37" s="203"/>
      <c r="D37" s="204"/>
      <c r="E37" s="80"/>
      <c r="F37" s="20"/>
      <c r="G37" s="21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1"/>
  <sheetViews>
    <sheetView workbookViewId="0">
      <selection activeCell="B29" sqref="B29"/>
    </sheetView>
  </sheetViews>
  <sheetFormatPr defaultRowHeight="15.75" x14ac:dyDescent="0.25"/>
  <cols>
    <col min="1" max="2" width="30.625" customWidth="1"/>
    <col min="4" max="4" width="12.5" bestFit="1" customWidth="1"/>
    <col min="5" max="7" width="30.625" customWidth="1"/>
  </cols>
  <sheetData>
    <row r="1" spans="1:7" ht="21.75" thickBot="1" x14ac:dyDescent="0.4">
      <c r="A1" s="32" t="s">
        <v>85</v>
      </c>
      <c r="B1" s="33" t="s">
        <v>77</v>
      </c>
      <c r="C1" s="41"/>
      <c r="D1" s="41"/>
      <c r="E1" s="34" t="s">
        <v>97</v>
      </c>
      <c r="F1" s="35" t="s">
        <v>98</v>
      </c>
      <c r="G1" s="36" t="s">
        <v>99</v>
      </c>
    </row>
    <row r="2" spans="1:7" x14ac:dyDescent="0.25">
      <c r="A2" s="37" t="s">
        <v>83</v>
      </c>
      <c r="B2" s="38" t="s">
        <v>27</v>
      </c>
      <c r="C2" s="42" t="s">
        <v>111</v>
      </c>
      <c r="D2" s="42" t="s">
        <v>110</v>
      </c>
      <c r="E2" s="4"/>
      <c r="F2" s="4"/>
      <c r="G2" s="5"/>
    </row>
    <row r="3" spans="1:7" x14ac:dyDescent="0.25">
      <c r="A3" s="12" t="s">
        <v>86</v>
      </c>
      <c r="B3" s="13"/>
      <c r="C3" s="43"/>
      <c r="D3" s="43"/>
      <c r="E3" s="6"/>
      <c r="F3" s="6"/>
      <c r="G3" s="7"/>
    </row>
    <row r="4" spans="1:7" ht="16.5" thickBot="1" x14ac:dyDescent="0.3">
      <c r="A4" s="12" t="s">
        <v>91</v>
      </c>
      <c r="B4" s="13" t="s">
        <v>1</v>
      </c>
      <c r="C4" s="43"/>
      <c r="D4" s="43"/>
      <c r="E4" s="8"/>
      <c r="F4" s="8"/>
      <c r="G4" s="9"/>
    </row>
    <row r="5" spans="1:7" x14ac:dyDescent="0.25">
      <c r="A5" s="12" t="s">
        <v>88</v>
      </c>
      <c r="B5" s="13">
        <v>75</v>
      </c>
      <c r="C5" s="44"/>
      <c r="D5" s="44"/>
      <c r="E5" s="11"/>
      <c r="F5" s="17"/>
      <c r="G5" s="18"/>
    </row>
    <row r="6" spans="1:7" x14ac:dyDescent="0.25">
      <c r="A6" s="12" t="s">
        <v>89</v>
      </c>
      <c r="B6" s="13">
        <v>20</v>
      </c>
      <c r="C6" s="45"/>
      <c r="D6" s="45"/>
      <c r="E6" s="12"/>
      <c r="F6" s="10"/>
      <c r="G6" s="19"/>
    </row>
    <row r="7" spans="1:7" ht="16.5" thickBot="1" x14ac:dyDescent="0.3">
      <c r="A7" s="14" t="s">
        <v>90</v>
      </c>
      <c r="B7" s="15">
        <v>55</v>
      </c>
      <c r="C7" s="46"/>
      <c r="D7" s="46"/>
      <c r="E7" s="14"/>
      <c r="F7" s="20"/>
      <c r="G7" s="21"/>
    </row>
    <row r="8" spans="1:7" x14ac:dyDescent="0.25">
      <c r="A8" s="37" t="s">
        <v>83</v>
      </c>
      <c r="B8" s="38" t="s">
        <v>34</v>
      </c>
      <c r="C8" s="42" t="s">
        <v>111</v>
      </c>
      <c r="D8" s="42" t="s">
        <v>110</v>
      </c>
      <c r="E8" s="4"/>
      <c r="F8" s="4"/>
      <c r="G8" s="5"/>
    </row>
    <row r="9" spans="1:7" x14ac:dyDescent="0.25">
      <c r="A9" s="12" t="s">
        <v>86</v>
      </c>
      <c r="B9" s="13"/>
      <c r="C9" s="43"/>
      <c r="D9" s="43"/>
      <c r="E9" s="6"/>
      <c r="F9" s="6"/>
      <c r="G9" s="7"/>
    </row>
    <row r="10" spans="1:7" ht="16.5" thickBot="1" x14ac:dyDescent="0.3">
      <c r="A10" s="12" t="s">
        <v>91</v>
      </c>
      <c r="B10" s="13" t="s">
        <v>6</v>
      </c>
      <c r="C10" s="43"/>
      <c r="D10" s="43"/>
      <c r="E10" s="8"/>
      <c r="F10" s="8"/>
      <c r="G10" s="9"/>
    </row>
    <row r="11" spans="1:7" x14ac:dyDescent="0.25">
      <c r="A11" s="12" t="s">
        <v>88</v>
      </c>
      <c r="B11" s="13">
        <v>75</v>
      </c>
      <c r="C11" s="44"/>
      <c r="D11" s="44"/>
      <c r="E11" s="11"/>
      <c r="F11" s="17"/>
      <c r="G11" s="18"/>
    </row>
    <row r="12" spans="1:7" x14ac:dyDescent="0.25">
      <c r="A12" s="12" t="s">
        <v>89</v>
      </c>
      <c r="B12" s="13">
        <v>20</v>
      </c>
      <c r="C12" s="45"/>
      <c r="D12" s="45"/>
      <c r="E12" s="12"/>
      <c r="F12" s="10"/>
      <c r="G12" s="19"/>
    </row>
    <row r="13" spans="1:7" ht="16.5" thickBot="1" x14ac:dyDescent="0.3">
      <c r="A13" s="14" t="s">
        <v>90</v>
      </c>
      <c r="B13" s="15">
        <v>55</v>
      </c>
      <c r="C13" s="46"/>
      <c r="D13" s="46"/>
      <c r="E13" s="14"/>
      <c r="F13" s="20"/>
      <c r="G13" s="21"/>
    </row>
    <row r="14" spans="1:7" x14ac:dyDescent="0.25">
      <c r="A14" s="37" t="s">
        <v>83</v>
      </c>
      <c r="B14" s="38" t="s">
        <v>34</v>
      </c>
      <c r="C14" s="42" t="s">
        <v>111</v>
      </c>
      <c r="D14" s="42" t="s">
        <v>110</v>
      </c>
      <c r="E14" s="4"/>
      <c r="F14" s="4"/>
      <c r="G14" s="5"/>
    </row>
    <row r="15" spans="1:7" x14ac:dyDescent="0.25">
      <c r="A15" s="12" t="s">
        <v>86</v>
      </c>
      <c r="B15" s="13"/>
      <c r="C15" s="43"/>
      <c r="D15" s="43"/>
      <c r="E15" s="6"/>
      <c r="F15" s="6"/>
      <c r="G15" s="7"/>
    </row>
    <row r="16" spans="1:7" ht="16.5" thickBot="1" x14ac:dyDescent="0.3">
      <c r="A16" s="12" t="s">
        <v>91</v>
      </c>
      <c r="B16" s="13" t="s">
        <v>7</v>
      </c>
      <c r="C16" s="43"/>
      <c r="D16" s="43"/>
      <c r="E16" s="8"/>
      <c r="F16" s="8"/>
      <c r="G16" s="9"/>
    </row>
    <row r="17" spans="1:7" x14ac:dyDescent="0.25">
      <c r="A17" s="12" t="s">
        <v>88</v>
      </c>
      <c r="B17" s="13">
        <v>75</v>
      </c>
      <c r="C17" s="44"/>
      <c r="D17" s="44"/>
      <c r="E17" s="11"/>
      <c r="F17" s="17"/>
      <c r="G17" s="18"/>
    </row>
    <row r="18" spans="1:7" x14ac:dyDescent="0.25">
      <c r="A18" s="12" t="s">
        <v>89</v>
      </c>
      <c r="B18" s="13">
        <v>20</v>
      </c>
      <c r="C18" s="45"/>
      <c r="D18" s="45"/>
      <c r="E18" s="12"/>
      <c r="F18" s="10"/>
      <c r="G18" s="19"/>
    </row>
    <row r="19" spans="1:7" ht="16.5" thickBot="1" x14ac:dyDescent="0.3">
      <c r="A19" s="14" t="s">
        <v>90</v>
      </c>
      <c r="B19" s="15">
        <v>55</v>
      </c>
      <c r="C19" s="46"/>
      <c r="D19" s="46"/>
      <c r="E19" s="14"/>
      <c r="F19" s="20"/>
      <c r="G19" s="21"/>
    </row>
    <row r="20" spans="1:7" x14ac:dyDescent="0.25">
      <c r="A20" s="37" t="s">
        <v>83</v>
      </c>
      <c r="B20" s="38" t="s">
        <v>34</v>
      </c>
      <c r="C20" s="42" t="s">
        <v>111</v>
      </c>
      <c r="D20" s="42" t="s">
        <v>110</v>
      </c>
      <c r="E20" s="4"/>
      <c r="F20" s="4"/>
      <c r="G20" s="5"/>
    </row>
    <row r="21" spans="1:7" x14ac:dyDescent="0.25">
      <c r="A21" s="12" t="s">
        <v>86</v>
      </c>
      <c r="B21" s="13"/>
      <c r="C21" s="43"/>
      <c r="D21" s="43"/>
      <c r="E21" s="6"/>
      <c r="F21" s="6"/>
      <c r="G21" s="7"/>
    </row>
    <row r="22" spans="1:7" ht="16.5" thickBot="1" x14ac:dyDescent="0.3">
      <c r="A22" s="12" t="s">
        <v>91</v>
      </c>
      <c r="B22" s="13" t="s">
        <v>8</v>
      </c>
      <c r="C22" s="43"/>
      <c r="D22" s="43"/>
      <c r="E22" s="8"/>
      <c r="F22" s="8"/>
      <c r="G22" s="9"/>
    </row>
    <row r="23" spans="1:7" x14ac:dyDescent="0.25">
      <c r="A23" s="12" t="s">
        <v>88</v>
      </c>
      <c r="B23" s="13">
        <v>75</v>
      </c>
      <c r="C23" s="44"/>
      <c r="D23" s="44"/>
      <c r="E23" s="11"/>
      <c r="F23" s="17"/>
      <c r="G23" s="18"/>
    </row>
    <row r="24" spans="1:7" x14ac:dyDescent="0.25">
      <c r="A24" s="12" t="s">
        <v>89</v>
      </c>
      <c r="B24" s="13">
        <v>20</v>
      </c>
      <c r="C24" s="45"/>
      <c r="D24" s="45"/>
      <c r="E24" s="12"/>
      <c r="F24" s="10"/>
      <c r="G24" s="19"/>
    </row>
    <row r="25" spans="1:7" ht="16.5" thickBot="1" x14ac:dyDescent="0.3">
      <c r="A25" s="14" t="s">
        <v>90</v>
      </c>
      <c r="B25" s="15">
        <v>55</v>
      </c>
      <c r="C25" s="46"/>
      <c r="D25" s="46"/>
      <c r="E25" s="14"/>
      <c r="F25" s="20"/>
      <c r="G25" s="21"/>
    </row>
    <row r="26" spans="1:7" x14ac:dyDescent="0.25">
      <c r="A26" s="37" t="s">
        <v>83</v>
      </c>
      <c r="B26" s="38" t="s">
        <v>34</v>
      </c>
      <c r="C26" s="42" t="s">
        <v>111</v>
      </c>
      <c r="D26" s="42" t="s">
        <v>110</v>
      </c>
      <c r="E26" s="4"/>
      <c r="F26" s="4"/>
      <c r="G26" s="5"/>
    </row>
    <row r="27" spans="1:7" x14ac:dyDescent="0.25">
      <c r="A27" s="12" t="s">
        <v>86</v>
      </c>
      <c r="B27" s="13"/>
      <c r="C27" s="43"/>
      <c r="D27" s="43"/>
      <c r="E27" s="6"/>
      <c r="F27" s="6"/>
      <c r="G27" s="7"/>
    </row>
    <row r="28" spans="1:7" ht="16.5" thickBot="1" x14ac:dyDescent="0.3">
      <c r="A28" s="12" t="s">
        <v>91</v>
      </c>
      <c r="B28" s="13" t="s">
        <v>10</v>
      </c>
      <c r="C28" s="43"/>
      <c r="D28" s="43"/>
      <c r="E28" s="8"/>
      <c r="F28" s="8"/>
      <c r="G28" s="9"/>
    </row>
    <row r="29" spans="1:7" x14ac:dyDescent="0.25">
      <c r="A29" s="12" t="s">
        <v>88</v>
      </c>
      <c r="B29" s="13">
        <v>75</v>
      </c>
      <c r="C29" s="44"/>
      <c r="D29" s="44"/>
      <c r="E29" s="11"/>
      <c r="F29" s="17"/>
      <c r="G29" s="18"/>
    </row>
    <row r="30" spans="1:7" x14ac:dyDescent="0.25">
      <c r="A30" s="12" t="s">
        <v>89</v>
      </c>
      <c r="B30" s="13">
        <v>20</v>
      </c>
      <c r="C30" s="45"/>
      <c r="D30" s="45"/>
      <c r="E30" s="12"/>
      <c r="F30" s="10"/>
      <c r="G30" s="19"/>
    </row>
    <row r="31" spans="1:7" ht="16.5" thickBot="1" x14ac:dyDescent="0.3">
      <c r="A31" s="14" t="s">
        <v>90</v>
      </c>
      <c r="B31" s="15">
        <v>55</v>
      </c>
      <c r="C31" s="46"/>
      <c r="D31" s="46"/>
      <c r="E31" s="14"/>
      <c r="F31" s="20"/>
      <c r="G31" s="2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Summary4Reporting</vt:lpstr>
      <vt:lpstr>Main</vt:lpstr>
      <vt:lpstr>A4A</vt:lpstr>
      <vt:lpstr>AIA</vt:lpstr>
      <vt:lpstr>ANSI</vt:lpstr>
      <vt:lpstr>ECMA</vt:lpstr>
      <vt:lpstr>HDF</vt:lpstr>
      <vt:lpstr>ISA</vt:lpstr>
      <vt:lpstr>ISO</vt:lpstr>
      <vt:lpstr>Modelica</vt:lpstr>
      <vt:lpstr>OAGi</vt:lpstr>
      <vt:lpstr>OMG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Sapp (US), Brandon</cp:lastModifiedBy>
  <dcterms:created xsi:type="dcterms:W3CDTF">2019-03-22T04:06:51Z</dcterms:created>
  <dcterms:modified xsi:type="dcterms:W3CDTF">2019-03-25T21:47:36Z</dcterms:modified>
</cp:coreProperties>
</file>
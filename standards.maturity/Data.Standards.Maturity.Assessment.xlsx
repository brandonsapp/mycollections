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us/Documents/git/mycollections/standards.maturity/"/>
    </mc:Choice>
  </mc:AlternateContent>
  <xr:revisionPtr revIDLastSave="0" documentId="13_ncr:1_{7C5239D7-A80B-7A4D-8072-D0535475587D}" xr6:coauthVersionLast="43" xr6:coauthVersionMax="43" xr10:uidLastSave="{00000000-0000-0000-0000-000000000000}"/>
  <bookViews>
    <workbookView xWindow="20" yWindow="460" windowWidth="33600" windowHeight="19700" xr2:uid="{00000000-000D-0000-FFFF-FFFF00000000}"/>
  </bookViews>
  <sheets>
    <sheet name="Main" sheetId="1" r:id="rId1"/>
    <sheet name="AIA" sheetId="2" r:id="rId2"/>
    <sheet name="ANSI" sheetId="3" r:id="rId3"/>
    <sheet name="ECMA" sheetId="4" r:id="rId4"/>
    <sheet name="HDF" sheetId="5" r:id="rId5"/>
    <sheet name="ISA" sheetId="6" r:id="rId6"/>
    <sheet name="IS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P12" i="1"/>
  <c r="O12" i="1"/>
  <c r="E14" i="1"/>
  <c r="K27" i="1"/>
  <c r="J27" i="1"/>
  <c r="I27" i="1"/>
  <c r="K26" i="1"/>
  <c r="J26" i="1"/>
  <c r="I26" i="1"/>
  <c r="H19" i="1"/>
  <c r="G19" i="1"/>
  <c r="F19" i="1"/>
  <c r="H18" i="1"/>
  <c r="G18" i="1"/>
  <c r="F18" i="1"/>
  <c r="H16" i="1"/>
  <c r="G16" i="1"/>
  <c r="F16" i="1"/>
  <c r="H15" i="1"/>
  <c r="G15" i="1"/>
  <c r="F15" i="1"/>
  <c r="H12" i="1"/>
  <c r="G12" i="1"/>
  <c r="F12" i="1"/>
  <c r="D14" i="1" l="1"/>
  <c r="C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Sapp (US), Brandon</author>
  </authors>
  <commentList>
    <comment ref="AC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Sapp (US), Brandon:</t>
        </r>
        <r>
          <rPr>
            <sz val="9"/>
            <color indexed="81"/>
            <rFont val="Tahoma"/>
            <charset val="1"/>
          </rPr>
          <t xml:space="preserve">
Same as PDF/E?</t>
        </r>
      </text>
    </comment>
    <comment ref="AH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Sapp (US), Brandon: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<sst xmlns="http://schemas.openxmlformats.org/spreadsheetml/2006/main" count="339" uniqueCount="115">
  <si>
    <t>Functional Focus Areas</t>
  </si>
  <si>
    <t>Product Requirements</t>
  </si>
  <si>
    <t>Customer Configuraiton</t>
  </si>
  <si>
    <t>Engineering Product Structure</t>
  </si>
  <si>
    <t>Change Management</t>
  </si>
  <si>
    <t>Scheduling</t>
  </si>
  <si>
    <t>Functional Architecture</t>
  </si>
  <si>
    <t>ICD Documentation</t>
  </si>
  <si>
    <t>Logical Design</t>
  </si>
  <si>
    <t>Vehicle Level Analysis, Test, and Cert</t>
  </si>
  <si>
    <t>Simulation</t>
  </si>
  <si>
    <t>Electrical Design</t>
  </si>
  <si>
    <t>CAD Authoring</t>
  </si>
  <si>
    <t>CAD Storage</t>
  </si>
  <si>
    <t>Spatial Integration</t>
  </si>
  <si>
    <t>EBOM</t>
  </si>
  <si>
    <t>EBOM (Electrical)</t>
  </si>
  <si>
    <t>MBOM</t>
  </si>
  <si>
    <t>Plan Authoring (IP)</t>
  </si>
  <si>
    <t>PDD Distribution</t>
  </si>
  <si>
    <t>Shop Floor Viewing</t>
  </si>
  <si>
    <t>Inventory Management</t>
  </si>
  <si>
    <t>Factory Digital Thread &amp; Automation</t>
  </si>
  <si>
    <t>Shop Floor Info (ADPP)</t>
  </si>
  <si>
    <t>Non-Conformance</t>
  </si>
  <si>
    <t>Plan Delivery (IP)</t>
  </si>
  <si>
    <t>Support Viewing</t>
  </si>
  <si>
    <t>ReqIF</t>
  </si>
  <si>
    <t>LOPA</t>
  </si>
  <si>
    <t>CSOS</t>
  </si>
  <si>
    <t>Options</t>
  </si>
  <si>
    <t>Catalog</t>
  </si>
  <si>
    <t>Config Specs</t>
  </si>
  <si>
    <t>ISO 10303-239</t>
  </si>
  <si>
    <t>ISO 10303-242</t>
  </si>
  <si>
    <t>SysML</t>
  </si>
  <si>
    <t>UML</t>
  </si>
  <si>
    <t>UPDM</t>
  </si>
  <si>
    <t>XMI</t>
  </si>
  <si>
    <t>OSLC</t>
  </si>
  <si>
    <t>FMI</t>
  </si>
  <si>
    <t>OWL</t>
  </si>
  <si>
    <t>Modelica</t>
  </si>
  <si>
    <t>ISO 10303-233</t>
  </si>
  <si>
    <t>Test and Lab Data</t>
  </si>
  <si>
    <t>Stress Notes</t>
  </si>
  <si>
    <t>ESV</t>
  </si>
  <si>
    <t>HDF5</t>
  </si>
  <si>
    <t>SVG</t>
  </si>
  <si>
    <t>S1000D</t>
  </si>
  <si>
    <t>FT</t>
  </si>
  <si>
    <t>3D PDF</t>
  </si>
  <si>
    <t>TIFF</t>
  </si>
  <si>
    <t>XML</t>
  </si>
  <si>
    <t>OAGIS BODs</t>
  </si>
  <si>
    <t>EBXML</t>
  </si>
  <si>
    <t>OPC-UA</t>
  </si>
  <si>
    <t>QIF</t>
  </si>
  <si>
    <t>ISA 95</t>
  </si>
  <si>
    <t>X</t>
  </si>
  <si>
    <t>ISO 10303-232</t>
  </si>
  <si>
    <t>ANSI</t>
  </si>
  <si>
    <t>LOTAR</t>
  </si>
  <si>
    <t>ISO Standard</t>
  </si>
  <si>
    <t>OMG Standards</t>
  </si>
  <si>
    <t>W3C Standards</t>
  </si>
  <si>
    <t>Brian Spring</t>
  </si>
  <si>
    <t>Cheryl Chittenden</t>
  </si>
  <si>
    <t>Functional Owner</t>
  </si>
  <si>
    <t>Boeing Proprietary/Non-Standard</t>
  </si>
  <si>
    <t>ISO 10303-209</t>
  </si>
  <si>
    <t>ISO/IEC 8632 [CGM]</t>
  </si>
  <si>
    <t>ISO 32000 [PDF]</t>
  </si>
  <si>
    <t>ISO 19005 [PDF/A]</t>
  </si>
  <si>
    <t>ISO 24517 [PDF/E]</t>
  </si>
  <si>
    <t>ECMA-363 [U3D]</t>
  </si>
  <si>
    <t>ECMA</t>
  </si>
  <si>
    <t>ISO 14739-1 [PRC]</t>
  </si>
  <si>
    <t>ISO 14306 [JT]</t>
  </si>
  <si>
    <t>ISO 10303-238</t>
  </si>
  <si>
    <t>AIA</t>
  </si>
  <si>
    <t>HDF</t>
  </si>
  <si>
    <t>OAGi</t>
  </si>
  <si>
    <t>IEC/ISO 62264 [B2MML]</t>
  </si>
  <si>
    <t>ISA</t>
  </si>
  <si>
    <t>ISO/IEC 10918 [JPEG]</t>
  </si>
  <si>
    <t>ISO/ASTM 52915 [AMF]</t>
  </si>
  <si>
    <t>OPC</t>
  </si>
  <si>
    <t>OMG</t>
  </si>
  <si>
    <t>David Odendahl</t>
  </si>
  <si>
    <t>Rick Zuray</t>
  </si>
  <si>
    <t>Joe Draper</t>
  </si>
  <si>
    <t>Mark Williams</t>
  </si>
  <si>
    <t>Tom Bluhm</t>
  </si>
  <si>
    <t>Stuart Galt</t>
  </si>
  <si>
    <t>Data Standard Technical SME</t>
  </si>
  <si>
    <t>Data Standard</t>
  </si>
  <si>
    <t>S100D</t>
  </si>
  <si>
    <t>Standards Body</t>
  </si>
  <si>
    <t>Technical SME</t>
  </si>
  <si>
    <t>XXX</t>
  </si>
  <si>
    <t>Standard Maturity</t>
  </si>
  <si>
    <t>Boeing Business Capability Maturity</t>
  </si>
  <si>
    <t>Industry Maturity</t>
  </si>
  <si>
    <t>Business Functional Area</t>
  </si>
  <si>
    <t>Rich Zuray</t>
  </si>
  <si>
    <t>Shop Floor</t>
  </si>
  <si>
    <t>S</t>
  </si>
  <si>
    <t>B</t>
  </si>
  <si>
    <t>I</t>
  </si>
  <si>
    <t>Gaps</t>
  </si>
  <si>
    <t>Actions</t>
  </si>
  <si>
    <t>Risk</t>
  </si>
  <si>
    <t>U3D</t>
  </si>
  <si>
    <t>David Briggs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</si>
</sst>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7" borderId="0" xfId="0" applyFill="1" applyBorder="1" applyAlignment="1">
      <alignment horizontal="center" vertical="center"/>
    </xf>
    <xf numFmtId="0" fontId="1" fillId="7" borderId="12" xfId="0" applyFont="1" applyFill="1" applyBorder="1" applyAlignment="1">
      <alignment horizontal="right" vertical="center"/>
    </xf>
    <xf numFmtId="0" fontId="1" fillId="7" borderId="12" xfId="0" applyFont="1" applyFill="1" applyBorder="1" applyAlignment="1">
      <alignment horizontal="left" vertical="center"/>
    </xf>
    <xf numFmtId="0" fontId="0" fillId="1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textRotation="90"/>
    </xf>
    <xf numFmtId="0" fontId="0" fillId="13" borderId="11" xfId="0" applyFill="1" applyBorder="1" applyAlignment="1">
      <alignment horizontal="center" textRotation="90"/>
    </xf>
    <xf numFmtId="0" fontId="0" fillId="3" borderId="18" xfId="0" applyFill="1" applyBorder="1" applyAlignment="1">
      <alignment horizontal="center" textRotation="90"/>
    </xf>
    <xf numFmtId="0" fontId="0" fillId="3" borderId="19" xfId="0" applyFill="1" applyBorder="1" applyAlignment="1">
      <alignment horizontal="center" textRotation="90"/>
    </xf>
    <xf numFmtId="0" fontId="0" fillId="3" borderId="20" xfId="0" applyFill="1" applyBorder="1" applyAlignment="1">
      <alignment horizontal="center" textRotation="90"/>
    </xf>
    <xf numFmtId="0" fontId="0" fillId="4" borderId="18" xfId="0" applyFill="1" applyBorder="1" applyAlignment="1">
      <alignment horizontal="center" textRotation="90"/>
    </xf>
    <xf numFmtId="0" fontId="0" fillId="4" borderId="20" xfId="0" applyFill="1" applyBorder="1" applyAlignment="1">
      <alignment horizontal="center" textRotation="90"/>
    </xf>
    <xf numFmtId="0" fontId="0" fillId="10" borderId="18" xfId="0" applyFill="1" applyBorder="1" applyAlignment="1">
      <alignment horizontal="center" textRotation="90"/>
    </xf>
    <xf numFmtId="0" fontId="0" fillId="10" borderId="20" xfId="0" applyFill="1" applyBorder="1" applyAlignment="1">
      <alignment horizontal="center" textRotation="90"/>
    </xf>
    <xf numFmtId="0" fontId="0" fillId="5" borderId="18" xfId="0" applyFill="1" applyBorder="1" applyAlignment="1">
      <alignment horizontal="center" textRotation="90"/>
    </xf>
    <xf numFmtId="0" fontId="0" fillId="5" borderId="19" xfId="0" applyFill="1" applyBorder="1" applyAlignment="1">
      <alignment horizontal="center" textRotation="90"/>
    </xf>
    <xf numFmtId="0" fontId="0" fillId="5" borderId="20" xfId="0" applyFill="1" applyBorder="1" applyAlignment="1">
      <alignment horizontal="center" textRotation="90"/>
    </xf>
    <xf numFmtId="0" fontId="0" fillId="6" borderId="18" xfId="0" applyFill="1" applyBorder="1" applyAlignment="1">
      <alignment horizontal="center" textRotation="90"/>
    </xf>
    <xf numFmtId="0" fontId="0" fillId="6" borderId="19" xfId="0" applyFill="1" applyBorder="1" applyAlignment="1">
      <alignment horizontal="center" textRotation="90"/>
    </xf>
    <xf numFmtId="0" fontId="0" fillId="6" borderId="20" xfId="0" applyFill="1" applyBorder="1" applyAlignment="1">
      <alignment horizontal="center" textRotation="90"/>
    </xf>
    <xf numFmtId="0" fontId="0" fillId="2" borderId="18" xfId="0" applyFill="1" applyBorder="1" applyAlignment="1">
      <alignment horizontal="center" textRotation="90"/>
    </xf>
    <xf numFmtId="0" fontId="0" fillId="2" borderId="19" xfId="0" applyFill="1" applyBorder="1" applyAlignment="1">
      <alignment horizontal="center" textRotation="90"/>
    </xf>
    <xf numFmtId="0" fontId="0" fillId="2" borderId="20" xfId="0" applyFill="1" applyBorder="1" applyAlignment="1">
      <alignment horizontal="center" textRotation="90"/>
    </xf>
    <xf numFmtId="0" fontId="0" fillId="0" borderId="6" xfId="0" applyBorder="1" applyAlignment="1">
      <alignment horizontal="center" vertical="center"/>
    </xf>
    <xf numFmtId="0" fontId="0" fillId="8" borderId="22" xfId="0" applyFill="1" applyBorder="1" applyAlignment="1">
      <alignment horizontal="right" vertical="center"/>
    </xf>
    <xf numFmtId="0" fontId="0" fillId="0" borderId="22" xfId="0" applyBorder="1" applyAlignment="1">
      <alignment horizontal="left" vertical="center"/>
    </xf>
    <xf numFmtId="0" fontId="0" fillId="8" borderId="23" xfId="0" applyFill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8" borderId="24" xfId="0" applyFill="1" applyBorder="1" applyAlignment="1">
      <alignment horizontal="right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center" vertical="center" textRotation="90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textRotation="90"/>
    </xf>
    <xf numFmtId="0" fontId="0" fillId="0" borderId="17" xfId="0" applyBorder="1" applyAlignment="1">
      <alignment horizontal="center" textRotation="90"/>
    </xf>
    <xf numFmtId="0" fontId="0" fillId="1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34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15" borderId="33" xfId="0" applyFill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11" borderId="15" xfId="0" applyFill="1" applyBorder="1" applyAlignment="1">
      <alignment horizontal="center" vertical="center" textRotation="90"/>
    </xf>
    <xf numFmtId="0" fontId="1" fillId="7" borderId="0" xfId="0" applyFont="1" applyFill="1" applyBorder="1" applyAlignment="1">
      <alignment horizontal="center" vertical="center"/>
    </xf>
    <xf numFmtId="0" fontId="4" fillId="0" borderId="15" xfId="0" applyFont="1" applyBorder="1"/>
    <xf numFmtId="0" fontId="0" fillId="15" borderId="13" xfId="0" applyFill="1" applyBorder="1"/>
    <xf numFmtId="0" fontId="0" fillId="15" borderId="14" xfId="0" applyFill="1" applyBorder="1"/>
    <xf numFmtId="0" fontId="0" fillId="15" borderId="0" xfId="0" applyFill="1" applyBorder="1"/>
    <xf numFmtId="0" fontId="0" fillId="15" borderId="37" xfId="0" applyFill="1" applyBorder="1"/>
    <xf numFmtId="0" fontId="0" fillId="15" borderId="39" xfId="0" applyFill="1" applyBorder="1"/>
    <xf numFmtId="0" fontId="0" fillId="15" borderId="38" xfId="0" applyFill="1" applyBorder="1"/>
    <xf numFmtId="0" fontId="4" fillId="0" borderId="16" xfId="0" applyFont="1" applyBorder="1"/>
    <xf numFmtId="0" fontId="4" fillId="0" borderId="17" xfId="0" applyFont="1" applyBorder="1"/>
    <xf numFmtId="0" fontId="4" fillId="0" borderId="2" xfId="0" applyFont="1" applyBorder="1"/>
    <xf numFmtId="0" fontId="4" fillId="0" borderId="14" xfId="0" applyFont="1" applyBorder="1" applyAlignment="1">
      <alignment horizontal="center"/>
    </xf>
    <xf numFmtId="0" fontId="0" fillId="0" borderId="1" xfId="0" applyBorder="1"/>
    <xf numFmtId="0" fontId="0" fillId="0" borderId="21" xfId="0" applyBorder="1"/>
    <xf numFmtId="0" fontId="0" fillId="0" borderId="4" xfId="0" applyFill="1" applyBorder="1" applyAlignment="1">
      <alignment horizontal="center"/>
    </xf>
    <xf numFmtId="0" fontId="0" fillId="0" borderId="6" xfId="0" applyBorder="1"/>
    <xf numFmtId="0" fontId="0" fillId="0" borderId="5" xfId="0" applyFill="1" applyBorder="1" applyAlignment="1">
      <alignment horizontal="center"/>
    </xf>
    <xf numFmtId="0" fontId="0" fillId="0" borderId="7" xfId="0" applyBorder="1"/>
    <xf numFmtId="0" fontId="0" fillId="0" borderId="9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15" borderId="10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textRotation="90"/>
    </xf>
    <xf numFmtId="0" fontId="0" fillId="9" borderId="15" xfId="0" applyFill="1" applyBorder="1" applyAlignment="1">
      <alignment horizontal="center" textRotation="90"/>
    </xf>
    <xf numFmtId="0" fontId="0" fillId="9" borderId="15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1"/>
  <sheetViews>
    <sheetView tabSelected="1" zoomScale="120" zoomScaleNormal="120" workbookViewId="0">
      <pane xSplit="1" topLeftCell="B1" activePane="topRight" state="frozen"/>
      <selection pane="topRight" activeCell="A23" sqref="A23"/>
    </sheetView>
  </sheetViews>
  <sheetFormatPr baseColWidth="10" defaultColWidth="11" defaultRowHeight="16" x14ac:dyDescent="0.2"/>
  <cols>
    <col min="1" max="1" width="38" style="7" bestFit="1" customWidth="1"/>
    <col min="2" max="2" width="15.5" style="8" bestFit="1" customWidth="1"/>
    <col min="3" max="11" width="2.6640625" style="2" customWidth="1"/>
    <col min="12" max="17" width="2.6640625" customWidth="1"/>
    <col min="18" max="58" width="5.83203125" customWidth="1"/>
  </cols>
  <sheetData>
    <row r="1" spans="1:59" s="2" customFormat="1" ht="17" thickBot="1" x14ac:dyDescent="0.25">
      <c r="A1" s="11"/>
      <c r="B1" s="11"/>
      <c r="C1" s="60" t="s">
        <v>80</v>
      </c>
      <c r="D1" s="61"/>
      <c r="E1" s="61"/>
      <c r="F1" s="61"/>
      <c r="G1" s="61"/>
      <c r="H1" s="62"/>
      <c r="I1" s="73" t="s">
        <v>61</v>
      </c>
      <c r="J1" s="61"/>
      <c r="K1" s="62"/>
      <c r="L1" s="137" t="s">
        <v>76</v>
      </c>
      <c r="M1" s="61"/>
      <c r="N1" s="62"/>
      <c r="O1" s="136" t="s">
        <v>81</v>
      </c>
      <c r="P1" s="61"/>
      <c r="Q1" s="62"/>
      <c r="R1" s="17" t="s">
        <v>84</v>
      </c>
      <c r="S1" s="70" t="s">
        <v>63</v>
      </c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2"/>
      <c r="AJ1" s="69" t="s">
        <v>42</v>
      </c>
      <c r="AK1" s="65"/>
      <c r="AL1" s="68" t="s">
        <v>82</v>
      </c>
      <c r="AM1" s="65"/>
      <c r="AN1" s="18" t="s">
        <v>88</v>
      </c>
      <c r="AO1" s="67" t="s">
        <v>64</v>
      </c>
      <c r="AP1" s="64"/>
      <c r="AQ1" s="64"/>
      <c r="AR1" s="64"/>
      <c r="AS1" s="65"/>
      <c r="AT1" s="18" t="s">
        <v>87</v>
      </c>
      <c r="AU1" s="66" t="s">
        <v>65</v>
      </c>
      <c r="AV1" s="64"/>
      <c r="AW1" s="65"/>
      <c r="AX1" s="63" t="s">
        <v>69</v>
      </c>
      <c r="AY1" s="64"/>
      <c r="AZ1" s="64"/>
      <c r="BA1" s="64"/>
      <c r="BB1" s="64"/>
      <c r="BC1" s="64"/>
      <c r="BD1" s="64"/>
      <c r="BE1" s="64"/>
      <c r="BF1" s="65"/>
    </row>
    <row r="2" spans="1:59" ht="131.25" customHeight="1" thickBot="1" x14ac:dyDescent="0.25">
      <c r="A2" s="12"/>
      <c r="B2" s="13"/>
      <c r="C2" s="99" t="s">
        <v>49</v>
      </c>
      <c r="D2" s="100"/>
      <c r="E2" s="101"/>
      <c r="F2" s="99" t="s">
        <v>62</v>
      </c>
      <c r="G2" s="100"/>
      <c r="H2" s="101"/>
      <c r="I2" s="102" t="s">
        <v>57</v>
      </c>
      <c r="J2" s="100"/>
      <c r="K2" s="101"/>
      <c r="L2" s="134" t="s">
        <v>75</v>
      </c>
      <c r="M2" s="58"/>
      <c r="N2" s="59"/>
      <c r="O2" s="135" t="s">
        <v>47</v>
      </c>
      <c r="P2" s="58"/>
      <c r="Q2" s="59"/>
      <c r="R2" s="20" t="s">
        <v>58</v>
      </c>
      <c r="S2" s="21" t="s">
        <v>83</v>
      </c>
      <c r="T2" s="22" t="s">
        <v>70</v>
      </c>
      <c r="U2" s="22" t="s">
        <v>60</v>
      </c>
      <c r="V2" s="22" t="s">
        <v>43</v>
      </c>
      <c r="W2" s="22" t="s">
        <v>79</v>
      </c>
      <c r="X2" s="22" t="s">
        <v>33</v>
      </c>
      <c r="Y2" s="22" t="s">
        <v>34</v>
      </c>
      <c r="Z2" s="22" t="s">
        <v>71</v>
      </c>
      <c r="AA2" s="22" t="s">
        <v>77</v>
      </c>
      <c r="AB2" s="22" t="s">
        <v>78</v>
      </c>
      <c r="AC2" s="22" t="s">
        <v>51</v>
      </c>
      <c r="AD2" s="22" t="s">
        <v>72</v>
      </c>
      <c r="AE2" s="22" t="s">
        <v>73</v>
      </c>
      <c r="AF2" s="22" t="s">
        <v>74</v>
      </c>
      <c r="AG2" s="22" t="s">
        <v>85</v>
      </c>
      <c r="AH2" s="22" t="s">
        <v>52</v>
      </c>
      <c r="AI2" s="23" t="s">
        <v>86</v>
      </c>
      <c r="AJ2" s="24" t="s">
        <v>42</v>
      </c>
      <c r="AK2" s="25" t="s">
        <v>40</v>
      </c>
      <c r="AL2" s="26" t="s">
        <v>54</v>
      </c>
      <c r="AM2" s="27" t="s">
        <v>39</v>
      </c>
      <c r="AN2" s="19" t="s">
        <v>55</v>
      </c>
      <c r="AO2" s="28" t="s">
        <v>27</v>
      </c>
      <c r="AP2" s="29" t="s">
        <v>35</v>
      </c>
      <c r="AQ2" s="29" t="s">
        <v>36</v>
      </c>
      <c r="AR2" s="29" t="s">
        <v>37</v>
      </c>
      <c r="AS2" s="30" t="s">
        <v>38</v>
      </c>
      <c r="AT2" s="19" t="s">
        <v>56</v>
      </c>
      <c r="AU2" s="31" t="s">
        <v>41</v>
      </c>
      <c r="AV2" s="32" t="s">
        <v>48</v>
      </c>
      <c r="AW2" s="33" t="s">
        <v>53</v>
      </c>
      <c r="AX2" s="34" t="s">
        <v>28</v>
      </c>
      <c r="AY2" s="35" t="s">
        <v>29</v>
      </c>
      <c r="AZ2" s="35" t="s">
        <v>30</v>
      </c>
      <c r="BA2" s="35" t="s">
        <v>31</v>
      </c>
      <c r="BB2" s="35" t="s">
        <v>32</v>
      </c>
      <c r="BC2" s="35" t="s">
        <v>44</v>
      </c>
      <c r="BD2" s="35" t="s">
        <v>45</v>
      </c>
      <c r="BE2" s="35" t="s">
        <v>50</v>
      </c>
      <c r="BF2" s="36" t="s">
        <v>46</v>
      </c>
      <c r="BG2" s="1"/>
    </row>
    <row r="3" spans="1:59" ht="17" thickBot="1" x14ac:dyDescent="0.25">
      <c r="A3" s="15" t="s">
        <v>0</v>
      </c>
      <c r="B3" s="16" t="s">
        <v>68</v>
      </c>
      <c r="C3" s="103" t="s">
        <v>107</v>
      </c>
      <c r="D3" s="103" t="s">
        <v>108</v>
      </c>
      <c r="E3" s="103" t="s">
        <v>109</v>
      </c>
      <c r="F3" s="103" t="s">
        <v>107</v>
      </c>
      <c r="G3" s="103" t="s">
        <v>108</v>
      </c>
      <c r="H3" s="103" t="s">
        <v>109</v>
      </c>
      <c r="I3" s="103" t="s">
        <v>107</v>
      </c>
      <c r="J3" s="103" t="s">
        <v>108</v>
      </c>
      <c r="K3" s="103" t="s">
        <v>109</v>
      </c>
      <c r="L3" s="103"/>
      <c r="M3" s="103"/>
      <c r="N3" s="103"/>
      <c r="O3" s="103"/>
      <c r="P3" s="103"/>
      <c r="Q3" s="103"/>
      <c r="R3" s="103"/>
      <c r="S3" s="103"/>
      <c r="T3" s="10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spans="1:59" x14ac:dyDescent="0.2">
      <c r="A4" s="38" t="s">
        <v>1</v>
      </c>
      <c r="B4" s="39"/>
      <c r="C4" s="48"/>
      <c r="D4" s="49"/>
      <c r="E4" s="50"/>
      <c r="F4" s="128"/>
      <c r="G4" s="128"/>
      <c r="H4" s="129"/>
      <c r="I4" s="77"/>
      <c r="J4" s="74"/>
      <c r="K4" s="78"/>
      <c r="L4" s="138"/>
      <c r="M4" s="45"/>
      <c r="N4" s="139"/>
      <c r="O4" s="77"/>
      <c r="P4" s="74"/>
      <c r="Q4" s="78"/>
      <c r="R4" s="45"/>
      <c r="S4" s="9"/>
      <c r="T4" s="9"/>
      <c r="U4" s="9"/>
      <c r="V4" s="9" t="s">
        <v>59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 t="s">
        <v>59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10"/>
    </row>
    <row r="5" spans="1:59" x14ac:dyDescent="0.2">
      <c r="A5" s="40" t="s">
        <v>2</v>
      </c>
      <c r="B5" s="41"/>
      <c r="C5" s="51"/>
      <c r="D5" s="52"/>
      <c r="E5" s="53"/>
      <c r="F5" s="130"/>
      <c r="G5" s="130"/>
      <c r="H5" s="131"/>
      <c r="I5" s="79"/>
      <c r="J5" s="75"/>
      <c r="K5" s="80"/>
      <c r="L5" s="37"/>
      <c r="M5" s="46"/>
      <c r="N5" s="83"/>
      <c r="O5" s="79"/>
      <c r="P5" s="75"/>
      <c r="Q5" s="80"/>
      <c r="R5" s="4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s">
        <v>59</v>
      </c>
      <c r="AY5" s="3" t="s">
        <v>59</v>
      </c>
      <c r="AZ5" s="3" t="s">
        <v>59</v>
      </c>
      <c r="BA5" s="3" t="s">
        <v>59</v>
      </c>
      <c r="BB5" s="3" t="s">
        <v>59</v>
      </c>
      <c r="BC5" s="3"/>
      <c r="BD5" s="3"/>
      <c r="BE5" s="3"/>
      <c r="BF5" s="4"/>
    </row>
    <row r="6" spans="1:59" x14ac:dyDescent="0.2">
      <c r="A6" s="40" t="s">
        <v>3</v>
      </c>
      <c r="B6" s="41"/>
      <c r="C6" s="51"/>
      <c r="D6" s="52"/>
      <c r="E6" s="53"/>
      <c r="F6" s="130"/>
      <c r="G6" s="130"/>
      <c r="H6" s="131"/>
      <c r="I6" s="79"/>
      <c r="J6" s="75"/>
      <c r="K6" s="80"/>
      <c r="L6" s="37"/>
      <c r="M6" s="46"/>
      <c r="N6" s="83"/>
      <c r="O6" s="79"/>
      <c r="P6" s="75"/>
      <c r="Q6" s="80"/>
      <c r="R6" s="46"/>
      <c r="S6" s="3"/>
      <c r="T6" s="3"/>
      <c r="U6" s="3"/>
      <c r="V6" s="3"/>
      <c r="W6" s="3"/>
      <c r="X6" s="3" t="s">
        <v>59</v>
      </c>
      <c r="Y6" s="3" t="s">
        <v>59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4"/>
    </row>
    <row r="7" spans="1:59" x14ac:dyDescent="0.2">
      <c r="A7" s="40" t="s">
        <v>4</v>
      </c>
      <c r="B7" s="41"/>
      <c r="C7" s="51"/>
      <c r="D7" s="52"/>
      <c r="E7" s="53"/>
      <c r="F7" s="130"/>
      <c r="G7" s="130"/>
      <c r="H7" s="131"/>
      <c r="I7" s="79"/>
      <c r="J7" s="75"/>
      <c r="K7" s="80"/>
      <c r="L7" s="37"/>
      <c r="M7" s="46"/>
      <c r="N7" s="83"/>
      <c r="O7" s="79"/>
      <c r="P7" s="75"/>
      <c r="Q7" s="80"/>
      <c r="R7" s="46"/>
      <c r="S7" s="3"/>
      <c r="T7" s="3"/>
      <c r="U7" s="3"/>
      <c r="V7" s="3"/>
      <c r="W7" s="3"/>
      <c r="X7" s="3" t="s">
        <v>59</v>
      </c>
      <c r="Y7" s="3" t="s">
        <v>59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4"/>
    </row>
    <row r="8" spans="1:59" x14ac:dyDescent="0.2">
      <c r="A8" s="40" t="s">
        <v>5</v>
      </c>
      <c r="B8" s="41"/>
      <c r="C8" s="51"/>
      <c r="D8" s="52"/>
      <c r="E8" s="53"/>
      <c r="F8" s="130"/>
      <c r="G8" s="130"/>
      <c r="H8" s="131"/>
      <c r="I8" s="79"/>
      <c r="J8" s="75"/>
      <c r="K8" s="80"/>
      <c r="L8" s="37"/>
      <c r="M8" s="46"/>
      <c r="N8" s="83"/>
      <c r="O8" s="79"/>
      <c r="P8" s="75"/>
      <c r="Q8" s="80"/>
      <c r="R8" s="46"/>
      <c r="S8" s="3"/>
      <c r="T8" s="3"/>
      <c r="U8" s="3"/>
      <c r="V8" s="3"/>
      <c r="W8" s="3"/>
      <c r="X8" s="3" t="s">
        <v>59</v>
      </c>
      <c r="Y8" s="3" t="s">
        <v>59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4"/>
    </row>
    <row r="9" spans="1:59" x14ac:dyDescent="0.2">
      <c r="A9" s="40" t="s">
        <v>6</v>
      </c>
      <c r="B9" s="41"/>
      <c r="C9" s="51"/>
      <c r="D9" s="52"/>
      <c r="E9" s="53"/>
      <c r="F9" s="130"/>
      <c r="G9" s="130"/>
      <c r="H9" s="131"/>
      <c r="I9" s="79"/>
      <c r="J9" s="75"/>
      <c r="K9" s="80"/>
      <c r="L9" s="37"/>
      <c r="M9" s="46"/>
      <c r="N9" s="83"/>
      <c r="O9" s="79"/>
      <c r="P9" s="75"/>
      <c r="Q9" s="80"/>
      <c r="R9" s="46"/>
      <c r="S9" s="3"/>
      <c r="T9" s="3"/>
      <c r="U9" s="3"/>
      <c r="V9" s="3" t="s">
        <v>59</v>
      </c>
      <c r="W9" s="3"/>
      <c r="X9" s="3" t="s">
        <v>59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59</v>
      </c>
      <c r="AK9" s="3" t="s">
        <v>59</v>
      </c>
      <c r="AL9" s="3"/>
      <c r="AM9" s="3" t="s">
        <v>59</v>
      </c>
      <c r="AN9" s="3"/>
      <c r="AO9" s="3"/>
      <c r="AP9" s="3" t="s">
        <v>59</v>
      </c>
      <c r="AQ9" s="3" t="s">
        <v>59</v>
      </c>
      <c r="AR9" s="3" t="s">
        <v>59</v>
      </c>
      <c r="AS9" s="3" t="s">
        <v>59</v>
      </c>
      <c r="AT9" s="3"/>
      <c r="AU9" s="3" t="s">
        <v>59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4"/>
    </row>
    <row r="10" spans="1:59" x14ac:dyDescent="0.2">
      <c r="A10" s="40" t="s">
        <v>7</v>
      </c>
      <c r="B10" s="41"/>
      <c r="C10" s="51"/>
      <c r="D10" s="52"/>
      <c r="E10" s="53"/>
      <c r="F10" s="130"/>
      <c r="G10" s="130"/>
      <c r="H10" s="131"/>
      <c r="I10" s="79"/>
      <c r="J10" s="75"/>
      <c r="K10" s="80"/>
      <c r="L10" s="37"/>
      <c r="M10" s="46"/>
      <c r="N10" s="83"/>
      <c r="O10" s="79"/>
      <c r="P10" s="75"/>
      <c r="Q10" s="80"/>
      <c r="R10" s="46"/>
      <c r="S10" s="3"/>
      <c r="T10" s="3"/>
      <c r="U10" s="3"/>
      <c r="V10" s="3" t="s">
        <v>59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59</v>
      </c>
      <c r="AK10" s="3" t="s">
        <v>59</v>
      </c>
      <c r="AL10" s="3"/>
      <c r="AM10" s="3" t="s">
        <v>59</v>
      </c>
      <c r="AN10" s="3"/>
      <c r="AO10" s="3"/>
      <c r="AP10" s="3" t="s">
        <v>59</v>
      </c>
      <c r="AQ10" s="3" t="s">
        <v>59</v>
      </c>
      <c r="AR10" s="3" t="s">
        <v>59</v>
      </c>
      <c r="AS10" s="3" t="s">
        <v>59</v>
      </c>
      <c r="AT10" s="3"/>
      <c r="AU10" s="3" t="s">
        <v>59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4"/>
    </row>
    <row r="11" spans="1:59" ht="17" thickBot="1" x14ac:dyDescent="0.25">
      <c r="A11" s="40" t="s">
        <v>8</v>
      </c>
      <c r="B11" s="41"/>
      <c r="C11" s="51"/>
      <c r="D11" s="52"/>
      <c r="E11" s="53"/>
      <c r="F11" s="130"/>
      <c r="G11" s="130"/>
      <c r="H11" s="131"/>
      <c r="I11" s="79"/>
      <c r="J11" s="75"/>
      <c r="K11" s="80"/>
      <c r="L11" s="37"/>
      <c r="M11" s="46"/>
      <c r="N11" s="83"/>
      <c r="O11" s="84"/>
      <c r="P11" s="85"/>
      <c r="Q11" s="95"/>
      <c r="R11" s="46"/>
      <c r="S11" s="3"/>
      <c r="T11" s="3"/>
      <c r="U11" s="3"/>
      <c r="V11" s="3" t="s">
        <v>59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59</v>
      </c>
      <c r="AK11" s="3" t="s">
        <v>59</v>
      </c>
      <c r="AL11" s="3"/>
      <c r="AM11" s="3" t="s">
        <v>59</v>
      </c>
      <c r="AN11" s="3"/>
      <c r="AO11" s="3"/>
      <c r="AP11" s="3" t="s">
        <v>59</v>
      </c>
      <c r="AQ11" s="3" t="s">
        <v>59</v>
      </c>
      <c r="AR11" s="3" t="s">
        <v>59</v>
      </c>
      <c r="AS11" s="3" t="s">
        <v>59</v>
      </c>
      <c r="AT11" s="3"/>
      <c r="AU11" s="3" t="s">
        <v>59</v>
      </c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4"/>
    </row>
    <row r="12" spans="1:59" ht="17" thickBot="1" x14ac:dyDescent="0.25">
      <c r="A12" s="40" t="s">
        <v>9</v>
      </c>
      <c r="B12" s="41"/>
      <c r="C12" s="51"/>
      <c r="D12" s="52"/>
      <c r="E12" s="53"/>
      <c r="F12" s="86">
        <f>AIA!B11</f>
        <v>75</v>
      </c>
      <c r="G12" s="94">
        <f>AIA!B12</f>
        <v>50</v>
      </c>
      <c r="H12" s="87">
        <f>AIA!B13</f>
        <v>25</v>
      </c>
      <c r="I12" s="79"/>
      <c r="J12" s="75"/>
      <c r="K12" s="80"/>
      <c r="L12" s="37"/>
      <c r="M12" s="46"/>
      <c r="N12" s="83"/>
      <c r="O12" s="86">
        <f>HDF!B5</f>
        <v>75</v>
      </c>
      <c r="P12" s="94">
        <f>HDF!B6</f>
        <v>20</v>
      </c>
      <c r="Q12" s="87">
        <f>HDF!B7</f>
        <v>55</v>
      </c>
      <c r="R12" s="46"/>
      <c r="S12" s="3"/>
      <c r="T12" s="3" t="s">
        <v>59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 t="s">
        <v>59</v>
      </c>
      <c r="BD12" s="3" t="s">
        <v>59</v>
      </c>
      <c r="BE12" s="3"/>
      <c r="BF12" s="4" t="s">
        <v>59</v>
      </c>
    </row>
    <row r="13" spans="1:59" ht="17" thickBot="1" x14ac:dyDescent="0.25">
      <c r="A13" s="40" t="s">
        <v>10</v>
      </c>
      <c r="B13" s="41"/>
      <c r="C13" s="88"/>
      <c r="D13" s="89"/>
      <c r="E13" s="90"/>
      <c r="F13" s="130"/>
      <c r="G13" s="130"/>
      <c r="H13" s="131"/>
      <c r="I13" s="79"/>
      <c r="J13" s="75"/>
      <c r="K13" s="80"/>
      <c r="L13" s="37"/>
      <c r="M13" s="46"/>
      <c r="N13" s="83"/>
      <c r="O13" s="96"/>
      <c r="P13" s="97"/>
      <c r="Q13" s="98"/>
      <c r="R13" s="46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59</v>
      </c>
      <c r="AK13" s="3" t="s">
        <v>59</v>
      </c>
      <c r="AL13" s="3"/>
      <c r="AM13" s="3" t="s">
        <v>59</v>
      </c>
      <c r="AN13" s="3"/>
      <c r="AO13" s="3"/>
      <c r="AP13" s="3" t="s">
        <v>59</v>
      </c>
      <c r="AQ13" s="3" t="s">
        <v>59</v>
      </c>
      <c r="AR13" s="3" t="s">
        <v>59</v>
      </c>
      <c r="AS13" s="3" t="s">
        <v>59</v>
      </c>
      <c r="AT13" s="3"/>
      <c r="AU13" s="3" t="s">
        <v>59</v>
      </c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4"/>
    </row>
    <row r="14" spans="1:59" ht="17" thickBot="1" x14ac:dyDescent="0.25">
      <c r="A14" s="40" t="s">
        <v>11</v>
      </c>
      <c r="B14" s="41"/>
      <c r="C14" s="86">
        <f>AIA!B5</f>
        <v>75</v>
      </c>
      <c r="D14" s="94">
        <f>AIA!B6</f>
        <v>50</v>
      </c>
      <c r="E14" s="87">
        <f>AIA!B7</f>
        <v>25</v>
      </c>
      <c r="F14" s="130"/>
      <c r="G14" s="130"/>
      <c r="H14" s="131"/>
      <c r="I14" s="79"/>
      <c r="J14" s="75"/>
      <c r="K14" s="80"/>
      <c r="L14" s="37"/>
      <c r="M14" s="46"/>
      <c r="N14" s="83"/>
      <c r="O14" s="79"/>
      <c r="P14" s="75"/>
      <c r="Q14" s="80"/>
      <c r="R14" s="46"/>
      <c r="S14" s="3"/>
      <c r="T14" s="3"/>
      <c r="U14" s="3" t="s">
        <v>59</v>
      </c>
      <c r="V14" s="3"/>
      <c r="W14" s="3"/>
      <c r="X14" s="3" t="s">
        <v>59</v>
      </c>
      <c r="Y14" s="3" t="s">
        <v>59</v>
      </c>
      <c r="Z14" s="3" t="s">
        <v>59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 t="s">
        <v>59</v>
      </c>
      <c r="AN14" s="3"/>
      <c r="AO14" s="3"/>
      <c r="AP14" s="3"/>
      <c r="AQ14" s="3"/>
      <c r="AR14" s="3"/>
      <c r="AS14" s="3"/>
      <c r="AT14" s="3"/>
      <c r="AU14" s="3"/>
      <c r="AV14" s="3" t="s">
        <v>59</v>
      </c>
      <c r="AW14" s="3"/>
      <c r="AX14" s="3"/>
      <c r="AY14" s="3"/>
      <c r="AZ14" s="3"/>
      <c r="BA14" s="3"/>
      <c r="BB14" s="3"/>
      <c r="BC14" s="3"/>
      <c r="BD14" s="3"/>
      <c r="BE14" s="3"/>
      <c r="BF14" s="4"/>
    </row>
    <row r="15" spans="1:59" ht="17" thickBot="1" x14ac:dyDescent="0.25">
      <c r="A15" s="40" t="s">
        <v>12</v>
      </c>
      <c r="B15" s="41" t="s">
        <v>66</v>
      </c>
      <c r="C15" s="91"/>
      <c r="D15" s="92"/>
      <c r="E15" s="93"/>
      <c r="F15" s="86">
        <f>AIA!B17</f>
        <v>75</v>
      </c>
      <c r="G15" s="94">
        <f>AIA!B18</f>
        <v>50</v>
      </c>
      <c r="H15" s="87">
        <f>AIA!B19</f>
        <v>25</v>
      </c>
      <c r="I15" s="79"/>
      <c r="J15" s="75"/>
      <c r="K15" s="80"/>
      <c r="L15" s="37"/>
      <c r="M15" s="46"/>
      <c r="N15" s="83"/>
      <c r="O15" s="79"/>
      <c r="P15" s="75"/>
      <c r="Q15" s="80"/>
      <c r="R15" s="46"/>
      <c r="S15" s="3"/>
      <c r="T15" s="3"/>
      <c r="U15" s="3"/>
      <c r="V15" s="3"/>
      <c r="W15" s="3"/>
      <c r="X15" s="3"/>
      <c r="Y15" s="3" t="s">
        <v>59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4"/>
    </row>
    <row r="16" spans="1:59" ht="17" thickBot="1" x14ac:dyDescent="0.25">
      <c r="A16" s="40" t="s">
        <v>13</v>
      </c>
      <c r="B16" s="41" t="s">
        <v>66</v>
      </c>
      <c r="C16" s="51"/>
      <c r="D16" s="52"/>
      <c r="E16" s="53"/>
      <c r="F16" s="86">
        <f>AIA!B23</f>
        <v>75</v>
      </c>
      <c r="G16" s="94">
        <f>AIA!B24</f>
        <v>50</v>
      </c>
      <c r="H16" s="87">
        <f>AIA!B25</f>
        <v>25</v>
      </c>
      <c r="I16" s="79"/>
      <c r="J16" s="75"/>
      <c r="K16" s="80"/>
      <c r="L16" s="37"/>
      <c r="M16" s="46"/>
      <c r="N16" s="83"/>
      <c r="O16" s="79"/>
      <c r="P16" s="75"/>
      <c r="Q16" s="80"/>
      <c r="R16" s="46"/>
      <c r="S16" s="3"/>
      <c r="T16" s="3"/>
      <c r="U16" s="3"/>
      <c r="V16" s="3"/>
      <c r="W16" s="3"/>
      <c r="X16" s="3"/>
      <c r="Y16" s="3" t="s">
        <v>59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4"/>
    </row>
    <row r="17" spans="1:58" ht="17" thickBot="1" x14ac:dyDescent="0.25">
      <c r="A17" s="40" t="s">
        <v>14</v>
      </c>
      <c r="B17" s="41" t="s">
        <v>66</v>
      </c>
      <c r="C17" s="51"/>
      <c r="D17" s="52"/>
      <c r="E17" s="53"/>
      <c r="F17" s="130"/>
      <c r="G17" s="130"/>
      <c r="H17" s="131"/>
      <c r="I17" s="79"/>
      <c r="J17" s="75"/>
      <c r="K17" s="80"/>
      <c r="L17" s="37"/>
      <c r="M17" s="46"/>
      <c r="N17" s="83"/>
      <c r="O17" s="79"/>
      <c r="P17" s="75"/>
      <c r="Q17" s="80"/>
      <c r="R17" s="46"/>
      <c r="S17" s="3"/>
      <c r="T17" s="3"/>
      <c r="U17" s="3"/>
      <c r="V17" s="3"/>
      <c r="W17" s="3"/>
      <c r="X17" s="3"/>
      <c r="Y17" s="3" t="s">
        <v>59</v>
      </c>
      <c r="Z17" s="3"/>
      <c r="AA17" s="3" t="s">
        <v>59</v>
      </c>
      <c r="AB17" s="3" t="s">
        <v>59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 t="s">
        <v>59</v>
      </c>
      <c r="BF17" s="4"/>
    </row>
    <row r="18" spans="1:58" ht="17" thickBot="1" x14ac:dyDescent="0.25">
      <c r="A18" s="40" t="s">
        <v>15</v>
      </c>
      <c r="B18" s="41" t="s">
        <v>67</v>
      </c>
      <c r="C18" s="51"/>
      <c r="D18" s="52"/>
      <c r="E18" s="53"/>
      <c r="F18" s="86">
        <f>AIA!B29</f>
        <v>75</v>
      </c>
      <c r="G18" s="94">
        <f>AIA!B30</f>
        <v>50</v>
      </c>
      <c r="H18" s="87">
        <f>AIA!B31</f>
        <v>25</v>
      </c>
      <c r="I18" s="79"/>
      <c r="J18" s="75"/>
      <c r="K18" s="80"/>
      <c r="L18" s="37"/>
      <c r="M18" s="46"/>
      <c r="N18" s="83"/>
      <c r="O18" s="79"/>
      <c r="P18" s="75"/>
      <c r="Q18" s="80"/>
      <c r="R18" s="46"/>
      <c r="S18" s="3"/>
      <c r="T18" s="3"/>
      <c r="U18" s="3" t="s">
        <v>59</v>
      </c>
      <c r="V18" s="3"/>
      <c r="W18" s="3"/>
      <c r="X18" s="3" t="s">
        <v>59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4"/>
    </row>
    <row r="19" spans="1:58" ht="17" thickBot="1" x14ac:dyDescent="0.25">
      <c r="A19" s="40" t="s">
        <v>16</v>
      </c>
      <c r="B19" s="41"/>
      <c r="C19" s="51"/>
      <c r="D19" s="52"/>
      <c r="E19" s="53"/>
      <c r="F19" s="86">
        <f>AIA!B35</f>
        <v>75</v>
      </c>
      <c r="G19" s="94">
        <f>AIA!B36</f>
        <v>50</v>
      </c>
      <c r="H19" s="87">
        <f>AIA!B37</f>
        <v>25</v>
      </c>
      <c r="I19" s="79"/>
      <c r="J19" s="75"/>
      <c r="K19" s="80"/>
      <c r="L19" s="37"/>
      <c r="M19" s="46"/>
      <c r="N19" s="83"/>
      <c r="O19" s="79"/>
      <c r="P19" s="75"/>
      <c r="Q19" s="80"/>
      <c r="R19" s="46"/>
      <c r="S19" s="3"/>
      <c r="T19" s="3"/>
      <c r="U19" s="3" t="s">
        <v>59</v>
      </c>
      <c r="V19" s="3"/>
      <c r="W19" s="3"/>
      <c r="X19" s="3" t="s">
        <v>59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4"/>
    </row>
    <row r="20" spans="1:58" x14ac:dyDescent="0.2">
      <c r="A20" s="40" t="s">
        <v>17</v>
      </c>
      <c r="B20" s="41"/>
      <c r="C20" s="51"/>
      <c r="D20" s="52"/>
      <c r="E20" s="53"/>
      <c r="F20" s="130"/>
      <c r="G20" s="130"/>
      <c r="H20" s="131"/>
      <c r="I20" s="79"/>
      <c r="J20" s="75"/>
      <c r="K20" s="80"/>
      <c r="L20" s="37"/>
      <c r="M20" s="46"/>
      <c r="N20" s="83"/>
      <c r="O20" s="79"/>
      <c r="P20" s="75"/>
      <c r="Q20" s="80"/>
      <c r="R20" s="46"/>
      <c r="S20" s="3"/>
      <c r="T20" s="3"/>
      <c r="U20" s="3"/>
      <c r="V20" s="3"/>
      <c r="W20" s="3"/>
      <c r="X20" s="3" t="s">
        <v>59</v>
      </c>
      <c r="Y20" s="3" t="s">
        <v>59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4"/>
    </row>
    <row r="21" spans="1:58" x14ac:dyDescent="0.2">
      <c r="A21" s="40" t="s">
        <v>18</v>
      </c>
      <c r="B21" s="41"/>
      <c r="C21" s="51"/>
      <c r="D21" s="52"/>
      <c r="E21" s="53"/>
      <c r="F21" s="130"/>
      <c r="G21" s="130"/>
      <c r="H21" s="131"/>
      <c r="I21" s="79"/>
      <c r="J21" s="75"/>
      <c r="K21" s="80"/>
      <c r="L21" s="37"/>
      <c r="M21" s="46"/>
      <c r="N21" s="83"/>
      <c r="O21" s="79"/>
      <c r="P21" s="75"/>
      <c r="Q21" s="80"/>
      <c r="R21" s="46"/>
      <c r="S21" s="3"/>
      <c r="T21" s="3"/>
      <c r="U21" s="3"/>
      <c r="V21" s="3"/>
      <c r="W21" s="3"/>
      <c r="X21" s="3" t="s">
        <v>59</v>
      </c>
      <c r="Y21" s="3" t="s">
        <v>59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4"/>
    </row>
    <row r="22" spans="1:58" x14ac:dyDescent="0.2">
      <c r="A22" s="40" t="s">
        <v>19</v>
      </c>
      <c r="B22" s="41" t="s">
        <v>66</v>
      </c>
      <c r="C22" s="51"/>
      <c r="D22" s="52"/>
      <c r="E22" s="53"/>
      <c r="F22" s="130"/>
      <c r="G22" s="130"/>
      <c r="H22" s="131"/>
      <c r="I22" s="79"/>
      <c r="J22" s="75"/>
      <c r="K22" s="80"/>
      <c r="L22" s="37" t="s">
        <v>59</v>
      </c>
      <c r="M22" s="46"/>
      <c r="N22" s="83"/>
      <c r="O22" s="79"/>
      <c r="P22" s="75"/>
      <c r="Q22" s="80"/>
      <c r="R22" s="46"/>
      <c r="S22" s="3"/>
      <c r="T22" s="3"/>
      <c r="U22" s="3"/>
      <c r="V22" s="3"/>
      <c r="W22" s="3"/>
      <c r="X22" s="3"/>
      <c r="Y22" s="3" t="s">
        <v>59</v>
      </c>
      <c r="Z22" s="3"/>
      <c r="AA22" s="3" t="s">
        <v>59</v>
      </c>
      <c r="AB22" s="3"/>
      <c r="AC22" s="3" t="s">
        <v>59</v>
      </c>
      <c r="AD22" s="3" t="s">
        <v>59</v>
      </c>
      <c r="AE22" s="3"/>
      <c r="AF22" s="3"/>
      <c r="AG22" s="3"/>
      <c r="AH22" s="3" t="s">
        <v>59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59</v>
      </c>
      <c r="AX22" s="3"/>
      <c r="AY22" s="3"/>
      <c r="AZ22" s="3"/>
      <c r="BA22" s="3"/>
      <c r="BB22" s="3"/>
      <c r="BC22" s="3"/>
      <c r="BD22" s="3"/>
      <c r="BE22" s="3"/>
      <c r="BF22" s="4"/>
    </row>
    <row r="23" spans="1:58" x14ac:dyDescent="0.2">
      <c r="A23" s="40" t="s">
        <v>20</v>
      </c>
      <c r="B23" s="41"/>
      <c r="C23" s="51"/>
      <c r="D23" s="52"/>
      <c r="E23" s="53"/>
      <c r="F23" s="130"/>
      <c r="G23" s="130"/>
      <c r="H23" s="131"/>
      <c r="I23" s="79"/>
      <c r="J23" s="75"/>
      <c r="K23" s="80"/>
      <c r="L23" s="37" t="s">
        <v>59</v>
      </c>
      <c r="M23" s="46"/>
      <c r="N23" s="83"/>
      <c r="O23" s="79"/>
      <c r="P23" s="75"/>
      <c r="Q23" s="80"/>
      <c r="R23" s="46"/>
      <c r="S23" s="3"/>
      <c r="T23" s="3"/>
      <c r="U23" s="3"/>
      <c r="V23" s="3"/>
      <c r="W23" s="3"/>
      <c r="X23" s="3"/>
      <c r="Y23" s="3" t="s">
        <v>59</v>
      </c>
      <c r="Z23" s="3"/>
      <c r="AA23" s="3" t="s">
        <v>59</v>
      </c>
      <c r="AB23" s="3" t="s">
        <v>59</v>
      </c>
      <c r="AC23" s="3" t="s">
        <v>59</v>
      </c>
      <c r="AD23" s="3" t="s">
        <v>59</v>
      </c>
      <c r="AE23" s="3"/>
      <c r="AF23" s="3"/>
      <c r="AG23" s="3"/>
      <c r="AH23" s="3" t="s">
        <v>59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 t="s">
        <v>59</v>
      </c>
      <c r="BF23" s="4"/>
    </row>
    <row r="24" spans="1:58" x14ac:dyDescent="0.2">
      <c r="A24" s="40" t="s">
        <v>21</v>
      </c>
      <c r="B24" s="41"/>
      <c r="C24" s="51"/>
      <c r="D24" s="52"/>
      <c r="E24" s="53"/>
      <c r="F24" s="130"/>
      <c r="G24" s="130"/>
      <c r="H24" s="131"/>
      <c r="I24" s="79"/>
      <c r="J24" s="75"/>
      <c r="K24" s="80"/>
      <c r="L24" s="37"/>
      <c r="M24" s="46"/>
      <c r="N24" s="83"/>
      <c r="O24" s="79"/>
      <c r="P24" s="75"/>
      <c r="Q24" s="80"/>
      <c r="R24" s="46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 t="s">
        <v>59</v>
      </c>
      <c r="AM24" s="3"/>
      <c r="AN24" s="3" t="s">
        <v>59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4"/>
    </row>
    <row r="25" spans="1:58" ht="17" thickBot="1" x14ac:dyDescent="0.25">
      <c r="A25" s="40" t="s">
        <v>22</v>
      </c>
      <c r="B25" s="41"/>
      <c r="C25" s="51"/>
      <c r="D25" s="52"/>
      <c r="E25" s="53"/>
      <c r="F25" s="130"/>
      <c r="G25" s="130"/>
      <c r="H25" s="131"/>
      <c r="I25" s="84"/>
      <c r="J25" s="85"/>
      <c r="K25" s="95"/>
      <c r="L25" s="37"/>
      <c r="M25" s="46"/>
      <c r="N25" s="83"/>
      <c r="O25" s="79"/>
      <c r="P25" s="75"/>
      <c r="Q25" s="80"/>
      <c r="R25" s="46"/>
      <c r="S25" s="3" t="s">
        <v>59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59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4"/>
    </row>
    <row r="26" spans="1:58" ht="17" thickBot="1" x14ac:dyDescent="0.25">
      <c r="A26" s="40" t="s">
        <v>23</v>
      </c>
      <c r="B26" s="41"/>
      <c r="C26" s="51"/>
      <c r="D26" s="52"/>
      <c r="E26" s="53"/>
      <c r="F26" s="130"/>
      <c r="G26" s="130"/>
      <c r="H26" s="131"/>
      <c r="I26" s="86">
        <f>ANSI!B5</f>
        <v>75</v>
      </c>
      <c r="J26" s="94">
        <f>ANSI!B6</f>
        <v>20</v>
      </c>
      <c r="K26" s="87">
        <f>ANSI!B7</f>
        <v>55</v>
      </c>
      <c r="L26" s="37"/>
      <c r="M26" s="46"/>
      <c r="N26" s="83"/>
      <c r="O26" s="79"/>
      <c r="P26" s="75"/>
      <c r="Q26" s="80"/>
      <c r="R26" s="46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4"/>
    </row>
    <row r="27" spans="1:58" ht="17" thickBot="1" x14ac:dyDescent="0.25">
      <c r="A27" s="40" t="s">
        <v>24</v>
      </c>
      <c r="B27" s="41"/>
      <c r="C27" s="51"/>
      <c r="D27" s="52"/>
      <c r="E27" s="53"/>
      <c r="F27" s="130"/>
      <c r="G27" s="130"/>
      <c r="H27" s="131"/>
      <c r="I27" s="86">
        <f>ANSI!B11</f>
        <v>75</v>
      </c>
      <c r="J27" s="94">
        <f>ANSI!B12</f>
        <v>20</v>
      </c>
      <c r="K27" s="87">
        <f>ANSI!B13</f>
        <v>55</v>
      </c>
      <c r="L27" s="37"/>
      <c r="M27" s="46"/>
      <c r="N27" s="83"/>
      <c r="O27" s="79"/>
      <c r="P27" s="75"/>
      <c r="Q27" s="80"/>
      <c r="R27" s="46" t="s">
        <v>59</v>
      </c>
      <c r="S27" s="3" t="s">
        <v>59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4"/>
    </row>
    <row r="28" spans="1:58" x14ac:dyDescent="0.2">
      <c r="A28" s="40" t="s">
        <v>25</v>
      </c>
      <c r="B28" s="41"/>
      <c r="C28" s="51"/>
      <c r="D28" s="52"/>
      <c r="E28" s="53"/>
      <c r="F28" s="130"/>
      <c r="G28" s="130"/>
      <c r="H28" s="131"/>
      <c r="I28" s="96"/>
      <c r="J28" s="97"/>
      <c r="K28" s="98"/>
      <c r="L28" s="37"/>
      <c r="M28" s="46"/>
      <c r="N28" s="83"/>
      <c r="O28" s="79"/>
      <c r="P28" s="75"/>
      <c r="Q28" s="80"/>
      <c r="R28" s="46" t="s">
        <v>59</v>
      </c>
      <c r="S28" s="3" t="s">
        <v>59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4"/>
    </row>
    <row r="29" spans="1:58" ht="17" thickBot="1" x14ac:dyDescent="0.25">
      <c r="A29" s="42" t="s">
        <v>26</v>
      </c>
      <c r="B29" s="43"/>
      <c r="C29" s="54"/>
      <c r="D29" s="55"/>
      <c r="E29" s="56"/>
      <c r="F29" s="132"/>
      <c r="G29" s="132"/>
      <c r="H29" s="133"/>
      <c r="I29" s="81"/>
      <c r="J29" s="76"/>
      <c r="K29" s="82"/>
      <c r="L29" s="140"/>
      <c r="M29" s="47"/>
      <c r="N29" s="141"/>
      <c r="O29" s="81"/>
      <c r="P29" s="76"/>
      <c r="Q29" s="82"/>
      <c r="R29" s="47"/>
      <c r="S29" s="5"/>
      <c r="T29" s="5"/>
      <c r="U29" s="5"/>
      <c r="V29" s="5"/>
      <c r="W29" s="5"/>
      <c r="X29" s="5"/>
      <c r="Y29" s="5" t="s">
        <v>59</v>
      </c>
      <c r="Z29" s="5" t="s">
        <v>59</v>
      </c>
      <c r="AA29" s="5"/>
      <c r="AB29" s="5"/>
      <c r="AC29" s="5" t="s">
        <v>59</v>
      </c>
      <c r="AD29" s="5" t="s">
        <v>59</v>
      </c>
      <c r="AE29" s="5"/>
      <c r="AF29" s="5"/>
      <c r="AG29" s="5" t="s">
        <v>59</v>
      </c>
      <c r="AH29" s="5" t="s">
        <v>59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 t="s">
        <v>59</v>
      </c>
      <c r="AW29" s="5"/>
      <c r="AX29" s="5"/>
      <c r="AY29" s="5"/>
      <c r="AZ29" s="5"/>
      <c r="BA29" s="5"/>
      <c r="BB29" s="5"/>
      <c r="BC29" s="5"/>
      <c r="BD29" s="5"/>
      <c r="BE29" s="5"/>
      <c r="BF29" s="6"/>
    </row>
    <row r="30" spans="1:58" ht="84" x14ac:dyDescent="0.2">
      <c r="A30" s="7" t="s">
        <v>95</v>
      </c>
      <c r="C30" s="44"/>
      <c r="D30" s="44"/>
      <c r="E30" s="44"/>
      <c r="F30" s="44" t="s">
        <v>90</v>
      </c>
      <c r="G30" s="44" t="s">
        <v>90</v>
      </c>
      <c r="H30" s="44" t="s">
        <v>90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 t="s">
        <v>91</v>
      </c>
      <c r="U30" s="44"/>
      <c r="V30" s="44" t="s">
        <v>92</v>
      </c>
      <c r="W30" s="44" t="s">
        <v>89</v>
      </c>
      <c r="X30" s="44" t="s">
        <v>90</v>
      </c>
      <c r="Y30" s="44" t="s">
        <v>93</v>
      </c>
      <c r="Z30" s="44"/>
      <c r="AA30" s="44" t="s">
        <v>94</v>
      </c>
      <c r="AB30" s="44"/>
      <c r="AC30" s="44" t="s">
        <v>94</v>
      </c>
      <c r="AD30" s="44" t="s">
        <v>94</v>
      </c>
      <c r="AE30" s="44" t="s">
        <v>94</v>
      </c>
      <c r="AF30" s="44" t="s">
        <v>94</v>
      </c>
      <c r="AG30" s="44"/>
      <c r="AH30" s="44"/>
      <c r="AI30" s="44"/>
      <c r="AJ30" s="44"/>
      <c r="AK30" s="44"/>
      <c r="AL30" s="44"/>
      <c r="AM30" s="44"/>
      <c r="AN30" s="44"/>
      <c r="AO30" s="44" t="s">
        <v>92</v>
      </c>
      <c r="AP30" s="44" t="s">
        <v>92</v>
      </c>
      <c r="AQ30" s="44"/>
      <c r="AR30" s="44"/>
      <c r="AS30" s="44" t="s">
        <v>92</v>
      </c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</row>
    <row r="31" spans="1:58" x14ac:dyDescent="0.2"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</sheetData>
  <mergeCells count="15">
    <mergeCell ref="L1:N1"/>
    <mergeCell ref="C2:E2"/>
    <mergeCell ref="AX1:BF1"/>
    <mergeCell ref="AU1:AW1"/>
    <mergeCell ref="AO1:AS1"/>
    <mergeCell ref="AL1:AM1"/>
    <mergeCell ref="AJ1:AK1"/>
    <mergeCell ref="S1:AI1"/>
    <mergeCell ref="F2:H2"/>
    <mergeCell ref="I1:K1"/>
    <mergeCell ref="I2:K2"/>
    <mergeCell ref="C1:H1"/>
    <mergeCell ref="L2:N2"/>
    <mergeCell ref="O2:Q2"/>
    <mergeCell ref="O1:Q1"/>
  </mergeCells>
  <conditionalFormatting sqref="S11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C4:Y29">
    <cfRule type="iconSet" priority="1">
      <iconSet iconSet="3Symbols2">
        <cfvo type="percent" val="0"/>
        <cfvo type="percent" val="33" gte="0"/>
        <cfvo type="num" val="66" gte="0"/>
      </iconSet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31" bestFit="1" customWidth="1"/>
    <col min="2" max="2" width="32" style="57" bestFit="1" customWidth="1"/>
    <col min="3" max="3" width="29.83203125" customWidth="1"/>
    <col min="4" max="4" width="24.83203125" customWidth="1"/>
    <col min="5" max="5" width="29.5" customWidth="1"/>
  </cols>
  <sheetData>
    <row r="1" spans="1:5" ht="22" thickBot="1" x14ac:dyDescent="0.3">
      <c r="A1" s="113" t="s">
        <v>98</v>
      </c>
      <c r="B1" s="114" t="s">
        <v>80</v>
      </c>
      <c r="C1" s="104" t="s">
        <v>110</v>
      </c>
      <c r="D1" s="111" t="s">
        <v>111</v>
      </c>
      <c r="E1" s="112" t="s">
        <v>112</v>
      </c>
    </row>
    <row r="2" spans="1:5" x14ac:dyDescent="0.2">
      <c r="A2" s="116" t="s">
        <v>96</v>
      </c>
      <c r="B2" s="117" t="s">
        <v>97</v>
      </c>
      <c r="C2" s="105"/>
      <c r="D2" s="105"/>
      <c r="E2" s="106"/>
    </row>
    <row r="3" spans="1:5" x14ac:dyDescent="0.2">
      <c r="A3" s="118" t="s">
        <v>99</v>
      </c>
      <c r="B3" s="119" t="s">
        <v>100</v>
      </c>
      <c r="C3" s="107"/>
      <c r="D3" s="107"/>
      <c r="E3" s="108"/>
    </row>
    <row r="4" spans="1:5" ht="17" thickBot="1" x14ac:dyDescent="0.25">
      <c r="A4" s="118" t="s">
        <v>104</v>
      </c>
      <c r="B4" s="119" t="s">
        <v>11</v>
      </c>
      <c r="C4" s="109"/>
      <c r="D4" s="109"/>
      <c r="E4" s="110"/>
    </row>
    <row r="5" spans="1:5" x14ac:dyDescent="0.2">
      <c r="A5" s="118" t="s">
        <v>101</v>
      </c>
      <c r="B5" s="119">
        <v>75</v>
      </c>
      <c r="C5" s="116"/>
      <c r="D5" s="123"/>
      <c r="E5" s="124"/>
    </row>
    <row r="6" spans="1:5" x14ac:dyDescent="0.2">
      <c r="A6" s="118" t="s">
        <v>102</v>
      </c>
      <c r="B6" s="119">
        <v>50</v>
      </c>
      <c r="C6" s="118"/>
      <c r="D6" s="115"/>
      <c r="E6" s="125"/>
    </row>
    <row r="7" spans="1:5" ht="17" thickBot="1" x14ac:dyDescent="0.25">
      <c r="A7" s="120" t="s">
        <v>103</v>
      </c>
      <c r="B7" s="121">
        <v>25</v>
      </c>
      <c r="C7" s="120"/>
      <c r="D7" s="126"/>
      <c r="E7" s="127"/>
    </row>
    <row r="8" spans="1:5" x14ac:dyDescent="0.2">
      <c r="A8" s="116" t="s">
        <v>96</v>
      </c>
      <c r="B8" s="117" t="s">
        <v>62</v>
      </c>
      <c r="C8" s="105"/>
      <c r="D8" s="105"/>
      <c r="E8" s="106"/>
    </row>
    <row r="9" spans="1:5" x14ac:dyDescent="0.2">
      <c r="A9" s="118" t="s">
        <v>99</v>
      </c>
      <c r="B9" s="119" t="s">
        <v>105</v>
      </c>
      <c r="C9" s="107"/>
      <c r="D9" s="107"/>
      <c r="E9" s="108"/>
    </row>
    <row r="10" spans="1:5" ht="17" thickBot="1" x14ac:dyDescent="0.25">
      <c r="A10" s="118" t="s">
        <v>104</v>
      </c>
      <c r="B10" s="122" t="s">
        <v>9</v>
      </c>
      <c r="C10" s="109"/>
      <c r="D10" s="109"/>
      <c r="E10" s="110"/>
    </row>
    <row r="11" spans="1:5" x14ac:dyDescent="0.2">
      <c r="A11" s="118" t="s">
        <v>101</v>
      </c>
      <c r="B11" s="119">
        <v>75</v>
      </c>
      <c r="C11" s="116"/>
      <c r="D11" s="123"/>
      <c r="E11" s="124"/>
    </row>
    <row r="12" spans="1:5" x14ac:dyDescent="0.2">
      <c r="A12" s="118" t="s">
        <v>102</v>
      </c>
      <c r="B12" s="119">
        <v>50</v>
      </c>
      <c r="C12" s="118"/>
      <c r="D12" s="115"/>
      <c r="E12" s="125"/>
    </row>
    <row r="13" spans="1:5" ht="17" thickBot="1" x14ac:dyDescent="0.25">
      <c r="A13" s="120" t="s">
        <v>103</v>
      </c>
      <c r="B13" s="121">
        <v>25</v>
      </c>
      <c r="C13" s="120"/>
      <c r="D13" s="126"/>
      <c r="E13" s="127"/>
    </row>
    <row r="14" spans="1:5" x14ac:dyDescent="0.2">
      <c r="A14" s="116" t="s">
        <v>96</v>
      </c>
      <c r="B14" s="117" t="s">
        <v>62</v>
      </c>
      <c r="C14" s="105"/>
      <c r="D14" s="105"/>
      <c r="E14" s="106"/>
    </row>
    <row r="15" spans="1:5" x14ac:dyDescent="0.2">
      <c r="A15" s="118" t="s">
        <v>99</v>
      </c>
      <c r="B15" s="119" t="s">
        <v>105</v>
      </c>
      <c r="C15" s="107"/>
      <c r="D15" s="107"/>
      <c r="E15" s="108"/>
    </row>
    <row r="16" spans="1:5" ht="17" thickBot="1" x14ac:dyDescent="0.25">
      <c r="A16" s="118" t="s">
        <v>104</v>
      </c>
      <c r="B16" s="122" t="s">
        <v>12</v>
      </c>
      <c r="C16" s="109"/>
      <c r="D16" s="109"/>
      <c r="E16" s="110"/>
    </row>
    <row r="17" spans="1:5" x14ac:dyDescent="0.2">
      <c r="A17" s="118" t="s">
        <v>101</v>
      </c>
      <c r="B17" s="119">
        <v>75</v>
      </c>
      <c r="C17" s="116"/>
      <c r="D17" s="123"/>
      <c r="E17" s="124"/>
    </row>
    <row r="18" spans="1:5" x14ac:dyDescent="0.2">
      <c r="A18" s="118" t="s">
        <v>102</v>
      </c>
      <c r="B18" s="119">
        <v>50</v>
      </c>
      <c r="C18" s="118"/>
      <c r="D18" s="115"/>
      <c r="E18" s="125"/>
    </row>
    <row r="19" spans="1:5" ht="17" thickBot="1" x14ac:dyDescent="0.25">
      <c r="A19" s="120" t="s">
        <v>103</v>
      </c>
      <c r="B19" s="121">
        <v>25</v>
      </c>
      <c r="C19" s="120"/>
      <c r="D19" s="126"/>
      <c r="E19" s="127"/>
    </row>
    <row r="20" spans="1:5" x14ac:dyDescent="0.2">
      <c r="A20" s="116" t="s">
        <v>96</v>
      </c>
      <c r="B20" s="117" t="s">
        <v>62</v>
      </c>
      <c r="C20" s="105"/>
      <c r="D20" s="105"/>
      <c r="E20" s="106"/>
    </row>
    <row r="21" spans="1:5" x14ac:dyDescent="0.2">
      <c r="A21" s="118" t="s">
        <v>99</v>
      </c>
      <c r="B21" s="119" t="s">
        <v>105</v>
      </c>
      <c r="C21" s="107"/>
      <c r="D21" s="107"/>
      <c r="E21" s="108"/>
    </row>
    <row r="22" spans="1:5" ht="17" thickBot="1" x14ac:dyDescent="0.25">
      <c r="A22" s="118" t="s">
        <v>104</v>
      </c>
      <c r="B22" s="122" t="s">
        <v>13</v>
      </c>
      <c r="C22" s="109"/>
      <c r="D22" s="109"/>
      <c r="E22" s="110"/>
    </row>
    <row r="23" spans="1:5" x14ac:dyDescent="0.2">
      <c r="A23" s="118" t="s">
        <v>101</v>
      </c>
      <c r="B23" s="119">
        <v>75</v>
      </c>
      <c r="C23" s="116"/>
      <c r="D23" s="123"/>
      <c r="E23" s="124"/>
    </row>
    <row r="24" spans="1:5" x14ac:dyDescent="0.2">
      <c r="A24" s="118" t="s">
        <v>102</v>
      </c>
      <c r="B24" s="119">
        <v>50</v>
      </c>
      <c r="C24" s="118"/>
      <c r="D24" s="115"/>
      <c r="E24" s="125"/>
    </row>
    <row r="25" spans="1:5" ht="17" thickBot="1" x14ac:dyDescent="0.25">
      <c r="A25" s="120" t="s">
        <v>103</v>
      </c>
      <c r="B25" s="121">
        <v>25</v>
      </c>
      <c r="C25" s="120"/>
      <c r="D25" s="126"/>
      <c r="E25" s="127"/>
    </row>
    <row r="26" spans="1:5" x14ac:dyDescent="0.2">
      <c r="A26" s="116" t="s">
        <v>96</v>
      </c>
      <c r="B26" s="117" t="s">
        <v>62</v>
      </c>
      <c r="C26" s="105"/>
      <c r="D26" s="105"/>
      <c r="E26" s="106"/>
    </row>
    <row r="27" spans="1:5" x14ac:dyDescent="0.2">
      <c r="A27" s="118" t="s">
        <v>99</v>
      </c>
      <c r="B27" s="119" t="s">
        <v>105</v>
      </c>
      <c r="C27" s="107"/>
      <c r="D27" s="107"/>
      <c r="E27" s="108"/>
    </row>
    <row r="28" spans="1:5" ht="17" thickBot="1" x14ac:dyDescent="0.25">
      <c r="A28" s="118" t="s">
        <v>104</v>
      </c>
      <c r="B28" s="122" t="s">
        <v>15</v>
      </c>
      <c r="C28" s="107"/>
      <c r="D28" s="107"/>
      <c r="E28" s="108"/>
    </row>
    <row r="29" spans="1:5" x14ac:dyDescent="0.2">
      <c r="A29" s="118" t="s">
        <v>101</v>
      </c>
      <c r="B29" s="119">
        <v>75</v>
      </c>
      <c r="C29" s="116"/>
      <c r="D29" s="123"/>
      <c r="E29" s="124"/>
    </row>
    <row r="30" spans="1:5" x14ac:dyDescent="0.2">
      <c r="A30" s="118" t="s">
        <v>102</v>
      </c>
      <c r="B30" s="119">
        <v>50</v>
      </c>
      <c r="C30" s="118"/>
      <c r="D30" s="115"/>
      <c r="E30" s="125"/>
    </row>
    <row r="31" spans="1:5" ht="17" thickBot="1" x14ac:dyDescent="0.25">
      <c r="A31" s="120" t="s">
        <v>103</v>
      </c>
      <c r="B31" s="121">
        <v>25</v>
      </c>
      <c r="C31" s="120"/>
      <c r="D31" s="126"/>
      <c r="E31" s="127"/>
    </row>
    <row r="32" spans="1:5" x14ac:dyDescent="0.2">
      <c r="A32" s="116" t="s">
        <v>96</v>
      </c>
      <c r="B32" s="117" t="s">
        <v>62</v>
      </c>
      <c r="C32" s="105"/>
      <c r="D32" s="105"/>
      <c r="E32" s="106"/>
    </row>
    <row r="33" spans="1:5" x14ac:dyDescent="0.2">
      <c r="A33" s="118" t="s">
        <v>99</v>
      </c>
      <c r="B33" s="119" t="s">
        <v>105</v>
      </c>
      <c r="C33" s="107"/>
      <c r="D33" s="107"/>
      <c r="E33" s="108"/>
    </row>
    <row r="34" spans="1:5" ht="17" thickBot="1" x14ac:dyDescent="0.25">
      <c r="A34" s="118" t="s">
        <v>104</v>
      </c>
      <c r="B34" s="122" t="s">
        <v>16</v>
      </c>
      <c r="C34" s="107"/>
      <c r="D34" s="107"/>
      <c r="E34" s="108"/>
    </row>
    <row r="35" spans="1:5" x14ac:dyDescent="0.2">
      <c r="A35" s="118" t="s">
        <v>101</v>
      </c>
      <c r="B35" s="119">
        <v>75</v>
      </c>
      <c r="C35" s="116"/>
      <c r="D35" s="123"/>
      <c r="E35" s="124"/>
    </row>
    <row r="36" spans="1:5" x14ac:dyDescent="0.2">
      <c r="A36" s="118" t="s">
        <v>102</v>
      </c>
      <c r="B36" s="119">
        <v>50</v>
      </c>
      <c r="C36" s="118"/>
      <c r="D36" s="115"/>
      <c r="E36" s="125"/>
    </row>
    <row r="37" spans="1:5" ht="17" thickBot="1" x14ac:dyDescent="0.25">
      <c r="A37" s="120" t="s">
        <v>103</v>
      </c>
      <c r="B37" s="121">
        <v>25</v>
      </c>
      <c r="C37" s="120"/>
      <c r="D37" s="126"/>
      <c r="E37" s="1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3"/>
    </sheetView>
  </sheetViews>
  <sheetFormatPr baseColWidth="10" defaultColWidth="8.83203125" defaultRowHeight="16" x14ac:dyDescent="0.2"/>
  <cols>
    <col min="1" max="1" width="30.83203125" bestFit="1" customWidth="1"/>
    <col min="2" max="2" width="15.6640625" bestFit="1" customWidth="1"/>
  </cols>
  <sheetData>
    <row r="1" spans="1:5" ht="22" thickBot="1" x14ac:dyDescent="0.3">
      <c r="A1" s="113" t="s">
        <v>98</v>
      </c>
      <c r="B1" s="114" t="s">
        <v>61</v>
      </c>
      <c r="C1" s="104" t="s">
        <v>110</v>
      </c>
      <c r="D1" s="111" t="s">
        <v>111</v>
      </c>
      <c r="E1" s="112" t="s">
        <v>112</v>
      </c>
    </row>
    <row r="2" spans="1:5" x14ac:dyDescent="0.2">
      <c r="A2" s="116" t="s">
        <v>96</v>
      </c>
      <c r="B2" s="117" t="s">
        <v>57</v>
      </c>
      <c r="C2" s="105"/>
      <c r="D2" s="105"/>
      <c r="E2" s="106"/>
    </row>
    <row r="3" spans="1:5" x14ac:dyDescent="0.2">
      <c r="A3" s="118" t="s">
        <v>99</v>
      </c>
      <c r="B3" s="119" t="s">
        <v>105</v>
      </c>
      <c r="C3" s="107"/>
      <c r="D3" s="107"/>
      <c r="E3" s="108"/>
    </row>
    <row r="4" spans="1:5" ht="17" thickBot="1" x14ac:dyDescent="0.25">
      <c r="A4" s="118" t="s">
        <v>104</v>
      </c>
      <c r="B4" s="119" t="s">
        <v>106</v>
      </c>
      <c r="C4" s="109"/>
      <c r="D4" s="109"/>
      <c r="E4" s="110"/>
    </row>
    <row r="5" spans="1:5" x14ac:dyDescent="0.2">
      <c r="A5" s="118" t="s">
        <v>101</v>
      </c>
      <c r="B5" s="119">
        <v>75</v>
      </c>
      <c r="C5" s="116"/>
      <c r="D5" s="123"/>
      <c r="E5" s="124"/>
    </row>
    <row r="6" spans="1:5" x14ac:dyDescent="0.2">
      <c r="A6" s="118" t="s">
        <v>102</v>
      </c>
      <c r="B6" s="119">
        <v>20</v>
      </c>
      <c r="C6" s="118"/>
      <c r="D6" s="115"/>
      <c r="E6" s="125"/>
    </row>
    <row r="7" spans="1:5" ht="17" thickBot="1" x14ac:dyDescent="0.25">
      <c r="A7" s="120" t="s">
        <v>103</v>
      </c>
      <c r="B7" s="121">
        <v>55</v>
      </c>
      <c r="C7" s="120"/>
      <c r="D7" s="126"/>
      <c r="E7" s="127"/>
    </row>
    <row r="8" spans="1:5" x14ac:dyDescent="0.2">
      <c r="A8" s="116" t="s">
        <v>96</v>
      </c>
      <c r="B8" s="117" t="s">
        <v>57</v>
      </c>
      <c r="C8" s="105"/>
      <c r="D8" s="105"/>
      <c r="E8" s="106"/>
    </row>
    <row r="9" spans="1:5" x14ac:dyDescent="0.2">
      <c r="A9" s="118" t="s">
        <v>99</v>
      </c>
      <c r="B9" s="119" t="s">
        <v>105</v>
      </c>
      <c r="C9" s="107"/>
      <c r="D9" s="107"/>
      <c r="E9" s="108"/>
    </row>
    <row r="10" spans="1:5" ht="17" thickBot="1" x14ac:dyDescent="0.25">
      <c r="A10" s="118" t="s">
        <v>104</v>
      </c>
      <c r="B10" s="122" t="s">
        <v>24</v>
      </c>
      <c r="C10" s="109"/>
      <c r="D10" s="109"/>
      <c r="E10" s="110"/>
    </row>
    <row r="11" spans="1:5" x14ac:dyDescent="0.2">
      <c r="A11" s="118" t="s">
        <v>101</v>
      </c>
      <c r="B11" s="119">
        <v>75</v>
      </c>
      <c r="C11" s="116"/>
      <c r="D11" s="123"/>
      <c r="E11" s="124"/>
    </row>
    <row r="12" spans="1:5" x14ac:dyDescent="0.2">
      <c r="A12" s="118" t="s">
        <v>102</v>
      </c>
      <c r="B12" s="119">
        <v>20</v>
      </c>
      <c r="C12" s="118"/>
      <c r="D12" s="115"/>
      <c r="E12" s="125"/>
    </row>
    <row r="13" spans="1:5" ht="17" thickBot="1" x14ac:dyDescent="0.25">
      <c r="A13" s="120" t="s">
        <v>103</v>
      </c>
      <c r="B13" s="121">
        <v>55</v>
      </c>
      <c r="C13" s="120"/>
      <c r="D13" s="126"/>
      <c r="E13" s="1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10" sqref="B10"/>
    </sheetView>
  </sheetViews>
  <sheetFormatPr baseColWidth="10" defaultColWidth="8.83203125" defaultRowHeight="16" x14ac:dyDescent="0.2"/>
  <cols>
    <col min="1" max="1" width="31" bestFit="1" customWidth="1"/>
    <col min="2" max="2" width="16" bestFit="1" customWidth="1"/>
  </cols>
  <sheetData>
    <row r="1" spans="1:5" ht="22" thickBot="1" x14ac:dyDescent="0.3">
      <c r="A1" s="113" t="s">
        <v>98</v>
      </c>
      <c r="B1" s="114" t="s">
        <v>76</v>
      </c>
      <c r="C1" s="104" t="s">
        <v>110</v>
      </c>
      <c r="D1" s="111" t="s">
        <v>111</v>
      </c>
      <c r="E1" s="112" t="s">
        <v>112</v>
      </c>
    </row>
    <row r="2" spans="1:5" x14ac:dyDescent="0.2">
      <c r="A2" s="116" t="s">
        <v>96</v>
      </c>
      <c r="B2" s="117" t="s">
        <v>113</v>
      </c>
      <c r="C2" s="105"/>
      <c r="D2" s="105"/>
      <c r="E2" s="106"/>
    </row>
    <row r="3" spans="1:5" x14ac:dyDescent="0.2">
      <c r="A3" s="118" t="s">
        <v>99</v>
      </c>
      <c r="B3" s="119" t="s">
        <v>114</v>
      </c>
      <c r="C3" s="107"/>
      <c r="D3" s="107"/>
      <c r="E3" s="108"/>
    </row>
    <row r="4" spans="1:5" ht="17" thickBot="1" x14ac:dyDescent="0.25">
      <c r="A4" s="118" t="s">
        <v>104</v>
      </c>
      <c r="B4" s="119" t="s">
        <v>19</v>
      </c>
      <c r="C4" s="109"/>
      <c r="D4" s="109"/>
      <c r="E4" s="110"/>
    </row>
    <row r="5" spans="1:5" x14ac:dyDescent="0.2">
      <c r="A5" s="118" t="s">
        <v>101</v>
      </c>
      <c r="B5" s="119">
        <v>75</v>
      </c>
      <c r="C5" s="116"/>
      <c r="D5" s="123"/>
      <c r="E5" s="124"/>
    </row>
    <row r="6" spans="1:5" x14ac:dyDescent="0.2">
      <c r="A6" s="118" t="s">
        <v>102</v>
      </c>
      <c r="B6" s="119">
        <v>20</v>
      </c>
      <c r="C6" s="118"/>
      <c r="D6" s="115"/>
      <c r="E6" s="125"/>
    </row>
    <row r="7" spans="1:5" ht="17" thickBot="1" x14ac:dyDescent="0.25">
      <c r="A7" s="120" t="s">
        <v>103</v>
      </c>
      <c r="B7" s="121">
        <v>55</v>
      </c>
      <c r="C7" s="120"/>
      <c r="D7" s="126"/>
      <c r="E7" s="127"/>
    </row>
    <row r="8" spans="1:5" x14ac:dyDescent="0.2">
      <c r="A8" s="116" t="s">
        <v>96</v>
      </c>
      <c r="B8" s="117" t="s">
        <v>113</v>
      </c>
      <c r="C8" s="105"/>
      <c r="D8" s="105"/>
      <c r="E8" s="106"/>
    </row>
    <row r="9" spans="1:5" x14ac:dyDescent="0.2">
      <c r="A9" s="118" t="s">
        <v>99</v>
      </c>
      <c r="B9" s="119" t="s">
        <v>114</v>
      </c>
      <c r="C9" s="107"/>
      <c r="D9" s="107"/>
      <c r="E9" s="108"/>
    </row>
    <row r="10" spans="1:5" ht="17" thickBot="1" x14ac:dyDescent="0.25">
      <c r="A10" s="118" t="s">
        <v>104</v>
      </c>
      <c r="B10" s="122" t="s">
        <v>20</v>
      </c>
      <c r="C10" s="109"/>
      <c r="D10" s="109"/>
      <c r="E10" s="110"/>
    </row>
    <row r="11" spans="1:5" x14ac:dyDescent="0.2">
      <c r="A11" s="118" t="s">
        <v>101</v>
      </c>
      <c r="B11" s="119">
        <v>75</v>
      </c>
      <c r="C11" s="116"/>
      <c r="D11" s="123"/>
      <c r="E11" s="124"/>
    </row>
    <row r="12" spans="1:5" x14ac:dyDescent="0.2">
      <c r="A12" s="118" t="s">
        <v>102</v>
      </c>
      <c r="B12" s="119">
        <v>20</v>
      </c>
      <c r="C12" s="118"/>
      <c r="D12" s="115"/>
      <c r="E12" s="125"/>
    </row>
    <row r="13" spans="1:5" ht="17" thickBot="1" x14ac:dyDescent="0.25">
      <c r="A13" s="120" t="s">
        <v>103</v>
      </c>
      <c r="B13" s="121">
        <v>55</v>
      </c>
      <c r="C13" s="120"/>
      <c r="D13" s="126"/>
      <c r="E13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B9" sqref="B9"/>
    </sheetView>
  </sheetViews>
  <sheetFormatPr baseColWidth="10" defaultColWidth="8.83203125" defaultRowHeight="16" x14ac:dyDescent="0.2"/>
  <cols>
    <col min="1" max="1" width="31" bestFit="1" customWidth="1"/>
    <col min="2" max="2" width="32" bestFit="1" customWidth="1"/>
  </cols>
  <sheetData>
    <row r="1" spans="1:5" ht="22" thickBot="1" x14ac:dyDescent="0.3">
      <c r="A1" s="113" t="s">
        <v>98</v>
      </c>
      <c r="B1" s="114" t="s">
        <v>81</v>
      </c>
      <c r="C1" s="104" t="s">
        <v>110</v>
      </c>
      <c r="D1" s="111" t="s">
        <v>111</v>
      </c>
      <c r="E1" s="112" t="s">
        <v>112</v>
      </c>
    </row>
    <row r="2" spans="1:5" x14ac:dyDescent="0.2">
      <c r="A2" s="116" t="s">
        <v>96</v>
      </c>
      <c r="B2" s="117" t="s">
        <v>47</v>
      </c>
      <c r="C2" s="105"/>
      <c r="D2" s="105"/>
      <c r="E2" s="106"/>
    </row>
    <row r="3" spans="1:5" x14ac:dyDescent="0.2">
      <c r="A3" s="118" t="s">
        <v>99</v>
      </c>
      <c r="B3" s="119"/>
      <c r="C3" s="107"/>
      <c r="D3" s="107"/>
      <c r="E3" s="108"/>
    </row>
    <row r="4" spans="1:5" ht="17" thickBot="1" x14ac:dyDescent="0.25">
      <c r="A4" s="118" t="s">
        <v>104</v>
      </c>
      <c r="B4" s="119" t="s">
        <v>9</v>
      </c>
      <c r="C4" s="109"/>
      <c r="D4" s="109"/>
      <c r="E4" s="110"/>
    </row>
    <row r="5" spans="1:5" x14ac:dyDescent="0.2">
      <c r="A5" s="118" t="s">
        <v>101</v>
      </c>
      <c r="B5" s="119">
        <v>75</v>
      </c>
      <c r="C5" s="116"/>
      <c r="D5" s="123"/>
      <c r="E5" s="124"/>
    </row>
    <row r="6" spans="1:5" x14ac:dyDescent="0.2">
      <c r="A6" s="118" t="s">
        <v>102</v>
      </c>
      <c r="B6" s="119">
        <v>20</v>
      </c>
      <c r="C6" s="118"/>
      <c r="D6" s="115"/>
      <c r="E6" s="125"/>
    </row>
    <row r="7" spans="1:5" ht="17" thickBot="1" x14ac:dyDescent="0.25">
      <c r="A7" s="120" t="s">
        <v>103</v>
      </c>
      <c r="B7" s="121">
        <v>55</v>
      </c>
      <c r="C7" s="120"/>
      <c r="D7" s="126"/>
      <c r="E7" s="1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AIA</vt:lpstr>
      <vt:lpstr>ANSI</vt:lpstr>
      <vt:lpstr>ECMA</vt:lpstr>
      <vt:lpstr>HDF</vt:lpstr>
      <vt:lpstr>ISA</vt:lpstr>
      <vt:lpstr>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2019-03-22T04:06:51Z</dcterms:created>
  <dcterms:modified xsi:type="dcterms:W3CDTF">2019-03-22T18:06:40Z</dcterms:modified>
</cp:coreProperties>
</file>